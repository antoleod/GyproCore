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61\AC\Temp\"/>
    </mc:Choice>
  </mc:AlternateContent>
  <xr:revisionPtr revIDLastSave="27" documentId="8_{065C6AD4-7AE7-B946-B8F0-710ADF8CC5B3}" xr6:coauthVersionLast="47" xr6:coauthVersionMax="47" xr10:uidLastSave="{CD8CB4F7-A443-6242-A78B-B2ACCDF3A81D}"/>
  <bookViews>
    <workbookView xWindow="-60" yWindow="-60" windowWidth="15480" windowHeight="11640" tabRatio="734" activeTab="2" xr2:uid="{00000000-000D-0000-FFFF-FFFF00000000}"/>
  </bookViews>
  <sheets>
    <sheet name="Tab Geral" sheetId="3" r:id="rId1"/>
    <sheet name="Tab1" sheetId="1" r:id="rId2"/>
    <sheet name="Tab2" sheetId="5" r:id="rId3"/>
    <sheet name="Tab3" sheetId="6" r:id="rId4"/>
    <sheet name="Tab4" sheetId="7" r:id="rId5"/>
    <sheet name="Tab5" sheetId="9" r:id="rId6"/>
    <sheet name="Tab6" sheetId="10" r:id="rId7"/>
    <sheet name="Tab7" sheetId="11" r:id="rId8"/>
    <sheet name="Tab8" sheetId="12" r:id="rId9"/>
    <sheet name="Tab9" sheetId="13" r:id="rId10"/>
    <sheet name="Tab10" sheetId="14" r:id="rId11"/>
    <sheet name="Preço" sheetId="1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5" l="1"/>
  <c r="I13" i="5"/>
  <c r="I12" i="5"/>
  <c r="I11" i="5"/>
  <c r="I10" i="5"/>
  <c r="I8" i="5"/>
  <c r="H8" i="5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I3" i="1"/>
  <c r="J3" i="1"/>
  <c r="B9" i="3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I3" i="5"/>
  <c r="J3" i="5"/>
  <c r="B10" i="3"/>
  <c r="J8" i="6"/>
  <c r="J9" i="6"/>
  <c r="J10" i="6"/>
  <c r="J11" i="6"/>
  <c r="I3" i="6"/>
  <c r="J3" i="6"/>
  <c r="B11" i="3"/>
  <c r="J8" i="7"/>
  <c r="J9" i="7"/>
  <c r="J10" i="7"/>
  <c r="J11" i="7"/>
  <c r="I3" i="7"/>
  <c r="J3" i="7"/>
  <c r="B12" i="3"/>
  <c r="J8" i="9"/>
  <c r="J9" i="9"/>
  <c r="J10" i="9"/>
  <c r="J11" i="9"/>
  <c r="J12" i="9"/>
  <c r="I3" i="9"/>
  <c r="J3" i="9"/>
  <c r="B13" i="3"/>
  <c r="J8" i="10"/>
  <c r="J9" i="10"/>
  <c r="J10" i="10"/>
  <c r="J11" i="10"/>
  <c r="I3" i="10"/>
  <c r="J3" i="10"/>
  <c r="B14" i="3"/>
  <c r="J8" i="11"/>
  <c r="J9" i="11"/>
  <c r="J10" i="11"/>
  <c r="J11" i="11"/>
  <c r="J12" i="11"/>
  <c r="I3" i="11"/>
  <c r="J3" i="11"/>
  <c r="B15" i="3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I3" i="12"/>
  <c r="J3" i="12"/>
  <c r="B16" i="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I3" i="13"/>
  <c r="J3" i="13"/>
  <c r="B17" i="3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I3" i="14"/>
  <c r="J3" i="14"/>
  <c r="B18" i="3"/>
  <c r="B8" i="3"/>
  <c r="A2" i="15"/>
  <c r="B3" i="15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I4" i="1"/>
  <c r="J4" i="1"/>
  <c r="C9" i="3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I4" i="5"/>
  <c r="J4" i="5"/>
  <c r="C10" i="3"/>
  <c r="F8" i="6"/>
  <c r="F9" i="6"/>
  <c r="F10" i="6"/>
  <c r="F11" i="6"/>
  <c r="I4" i="6"/>
  <c r="J4" i="6"/>
  <c r="C11" i="3"/>
  <c r="F8" i="7"/>
  <c r="F9" i="7"/>
  <c r="F10" i="7"/>
  <c r="F11" i="7"/>
  <c r="I4" i="7"/>
  <c r="J4" i="7"/>
  <c r="C12" i="3"/>
  <c r="F8" i="9"/>
  <c r="F9" i="9"/>
  <c r="F10" i="9"/>
  <c r="F11" i="9"/>
  <c r="F12" i="9"/>
  <c r="I4" i="9"/>
  <c r="J4" i="9"/>
  <c r="C13" i="3"/>
  <c r="F8" i="10"/>
  <c r="F9" i="10"/>
  <c r="F10" i="10"/>
  <c r="F11" i="10"/>
  <c r="I4" i="10"/>
  <c r="J4" i="10"/>
  <c r="C14" i="3"/>
  <c r="F8" i="11"/>
  <c r="F9" i="11"/>
  <c r="F10" i="11"/>
  <c r="F11" i="11"/>
  <c r="F12" i="11"/>
  <c r="I4" i="11"/>
  <c r="J4" i="11"/>
  <c r="C15" i="3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I4" i="12"/>
  <c r="J4" i="12"/>
  <c r="C16" i="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I4" i="13"/>
  <c r="J4" i="13"/>
  <c r="C17" i="3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I4" i="14"/>
  <c r="J4" i="14"/>
  <c r="C18" i="3"/>
  <c r="C8" i="3"/>
  <c r="C3" i="15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I5" i="1"/>
  <c r="J5" i="1"/>
  <c r="D9" i="3"/>
  <c r="G8" i="5"/>
  <c r="G9" i="5"/>
  <c r="H9" i="5"/>
  <c r="G10" i="5"/>
  <c r="H10" i="5"/>
  <c r="G11" i="5"/>
  <c r="H11" i="5"/>
  <c r="G12" i="5"/>
  <c r="H12" i="5"/>
  <c r="G13" i="5"/>
  <c r="G14" i="5"/>
  <c r="H14" i="5"/>
  <c r="G15" i="5"/>
  <c r="H15" i="5"/>
  <c r="G16" i="5"/>
  <c r="H16" i="5"/>
  <c r="G17" i="5"/>
  <c r="H17" i="5"/>
  <c r="G18" i="5"/>
  <c r="H18" i="5"/>
  <c r="I5" i="5"/>
  <c r="J5" i="5"/>
  <c r="D10" i="3"/>
  <c r="G8" i="6"/>
  <c r="H8" i="6"/>
  <c r="G9" i="6"/>
  <c r="H9" i="6"/>
  <c r="G10" i="6"/>
  <c r="H10" i="6"/>
  <c r="G11" i="6"/>
  <c r="H11" i="6"/>
  <c r="I5" i="6"/>
  <c r="J5" i="6"/>
  <c r="D11" i="3"/>
  <c r="G8" i="7"/>
  <c r="H8" i="7"/>
  <c r="G9" i="7"/>
  <c r="H9" i="7"/>
  <c r="G10" i="7"/>
  <c r="H10" i="7"/>
  <c r="G11" i="7"/>
  <c r="H11" i="7"/>
  <c r="I5" i="7"/>
  <c r="J5" i="7"/>
  <c r="D12" i="3"/>
  <c r="G8" i="9"/>
  <c r="H8" i="9"/>
  <c r="G9" i="9"/>
  <c r="H9" i="9"/>
  <c r="G10" i="9"/>
  <c r="H10" i="9"/>
  <c r="G11" i="9"/>
  <c r="H11" i="9"/>
  <c r="G12" i="9"/>
  <c r="H12" i="9"/>
  <c r="I5" i="9"/>
  <c r="J5" i="9"/>
  <c r="D13" i="3"/>
  <c r="G8" i="10"/>
  <c r="H8" i="10"/>
  <c r="G9" i="10"/>
  <c r="H9" i="10"/>
  <c r="G10" i="10"/>
  <c r="H10" i="10"/>
  <c r="G11" i="10"/>
  <c r="H11" i="10"/>
  <c r="I5" i="10"/>
  <c r="J5" i="10"/>
  <c r="D14" i="3"/>
  <c r="G8" i="11"/>
  <c r="H8" i="11"/>
  <c r="G9" i="11"/>
  <c r="H9" i="11"/>
  <c r="G10" i="11"/>
  <c r="H10" i="11"/>
  <c r="G11" i="11"/>
  <c r="H11" i="11"/>
  <c r="G12" i="11"/>
  <c r="H12" i="11"/>
  <c r="I5" i="11"/>
  <c r="J5" i="11"/>
  <c r="D15" i="3"/>
  <c r="G8" i="12"/>
  <c r="H8" i="12"/>
  <c r="G9" i="12"/>
  <c r="H9" i="12"/>
  <c r="G10" i="12"/>
  <c r="H10" i="12"/>
  <c r="G11" i="12"/>
  <c r="H11" i="12"/>
  <c r="G12" i="12"/>
  <c r="H12" i="12"/>
  <c r="G13" i="12"/>
  <c r="H13" i="12"/>
  <c r="G14" i="12"/>
  <c r="H14" i="12"/>
  <c r="G15" i="12"/>
  <c r="H15" i="12"/>
  <c r="G16" i="12"/>
  <c r="H16" i="12"/>
  <c r="G17" i="12"/>
  <c r="H17" i="12"/>
  <c r="G18" i="12"/>
  <c r="H18" i="12"/>
  <c r="G19" i="12"/>
  <c r="H19" i="12"/>
  <c r="G20" i="12"/>
  <c r="H20" i="12"/>
  <c r="G21" i="12"/>
  <c r="H21" i="12"/>
  <c r="G22" i="12"/>
  <c r="H22" i="12"/>
  <c r="G23" i="12"/>
  <c r="H23" i="12"/>
  <c r="G24" i="12"/>
  <c r="H24" i="12"/>
  <c r="I5" i="12"/>
  <c r="J5" i="12"/>
  <c r="D16" i="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G16" i="13"/>
  <c r="H16" i="13"/>
  <c r="G17" i="13"/>
  <c r="H17" i="13"/>
  <c r="G18" i="13"/>
  <c r="H18" i="13"/>
  <c r="G19" i="13"/>
  <c r="H19" i="13"/>
  <c r="G20" i="13"/>
  <c r="H20" i="13"/>
  <c r="G21" i="13"/>
  <c r="H21" i="13"/>
  <c r="G22" i="13"/>
  <c r="H22" i="13"/>
  <c r="G23" i="13"/>
  <c r="H23" i="13"/>
  <c r="G24" i="13"/>
  <c r="H24" i="13"/>
  <c r="I5" i="13"/>
  <c r="J5" i="13"/>
  <c r="D17" i="3"/>
  <c r="G8" i="14"/>
  <c r="H8" i="14"/>
  <c r="G9" i="14"/>
  <c r="H9" i="14"/>
  <c r="G10" i="14"/>
  <c r="H10" i="14"/>
  <c r="G11" i="14"/>
  <c r="H11" i="14"/>
  <c r="G12" i="14"/>
  <c r="H12" i="14"/>
  <c r="G13" i="14"/>
  <c r="H13" i="14"/>
  <c r="G14" i="14"/>
  <c r="H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G24" i="14"/>
  <c r="H24" i="14"/>
  <c r="I5" i="14"/>
  <c r="J5" i="14"/>
  <c r="D18" i="3"/>
  <c r="D8" i="3"/>
  <c r="D3" i="15"/>
  <c r="E9" i="3"/>
  <c r="E10" i="3"/>
  <c r="E11" i="3"/>
  <c r="E12" i="3"/>
  <c r="E13" i="3"/>
  <c r="E14" i="3"/>
  <c r="E15" i="3"/>
  <c r="E16" i="3"/>
  <c r="E17" i="3"/>
  <c r="E18" i="3"/>
  <c r="E8" i="3"/>
  <c r="E3" i="15"/>
  <c r="F9" i="3"/>
  <c r="F10" i="3"/>
  <c r="F11" i="3"/>
  <c r="F12" i="3"/>
  <c r="F13" i="3"/>
  <c r="F14" i="3"/>
  <c r="F15" i="3"/>
  <c r="F16" i="3"/>
  <c r="F17" i="3"/>
  <c r="F18" i="3"/>
  <c r="F8" i="3"/>
  <c r="F3" i="15"/>
  <c r="G9" i="3"/>
  <c r="G10" i="3"/>
  <c r="G11" i="3"/>
  <c r="G12" i="3"/>
  <c r="G13" i="3"/>
  <c r="G14" i="3"/>
  <c r="G15" i="3"/>
  <c r="G16" i="3"/>
  <c r="G17" i="3"/>
  <c r="G18" i="3"/>
  <c r="G8" i="3"/>
  <c r="G3" i="15"/>
  <c r="H9" i="3"/>
  <c r="H10" i="3"/>
  <c r="H11" i="3"/>
  <c r="H12" i="3"/>
  <c r="H13" i="3"/>
  <c r="H14" i="3"/>
  <c r="H15" i="3"/>
  <c r="H16" i="3"/>
  <c r="H17" i="3"/>
  <c r="H18" i="3"/>
  <c r="H8" i="3"/>
  <c r="H3" i="15"/>
  <c r="I9" i="3"/>
  <c r="I10" i="3"/>
  <c r="I11" i="3"/>
  <c r="I12" i="3"/>
  <c r="I13" i="3"/>
  <c r="I14" i="3"/>
  <c r="I15" i="3"/>
  <c r="I16" i="3"/>
  <c r="I17" i="3"/>
  <c r="I18" i="3"/>
  <c r="I8" i="3"/>
  <c r="I3" i="15"/>
  <c r="J9" i="3"/>
  <c r="J10" i="3"/>
  <c r="J11" i="3"/>
  <c r="J12" i="3"/>
  <c r="J13" i="3"/>
  <c r="J14" i="3"/>
  <c r="J15" i="3"/>
  <c r="J16" i="3"/>
  <c r="J17" i="3"/>
  <c r="J18" i="3"/>
  <c r="J8" i="3"/>
  <c r="J3" i="15"/>
  <c r="K3" i="15"/>
  <c r="B5" i="15"/>
  <c r="C5" i="15"/>
  <c r="D5" i="15"/>
  <c r="E5" i="15"/>
  <c r="F5" i="15"/>
  <c r="G5" i="15"/>
  <c r="H5" i="15"/>
  <c r="I5" i="15"/>
  <c r="J5" i="15"/>
  <c r="B7" i="15"/>
  <c r="B8" i="15"/>
  <c r="A9" i="3"/>
  <c r="A10" i="3"/>
  <c r="A11" i="3"/>
  <c r="A12" i="3"/>
  <c r="A13" i="3"/>
  <c r="A14" i="3"/>
  <c r="A15" i="3"/>
  <c r="A16" i="3"/>
  <c r="A17" i="3"/>
  <c r="A18" i="3"/>
  <c r="B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B2" i="5"/>
  <c r="I9" i="5"/>
  <c r="I14" i="5"/>
  <c r="I15" i="5"/>
  <c r="I16" i="5"/>
  <c r="I17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0" i="5"/>
  <c r="H30" i="5"/>
  <c r="I30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G36" i="5"/>
  <c r="H36" i="5"/>
  <c r="I36" i="5"/>
  <c r="G37" i="5"/>
  <c r="H37" i="5"/>
  <c r="I37" i="5"/>
  <c r="G38" i="5"/>
  <c r="H38" i="5"/>
  <c r="I38" i="5"/>
  <c r="G39" i="5"/>
  <c r="H39" i="5"/>
  <c r="I39" i="5"/>
  <c r="G40" i="5"/>
  <c r="H40" i="5"/>
  <c r="I40" i="5"/>
  <c r="G41" i="5"/>
  <c r="H41" i="5"/>
  <c r="I41" i="5"/>
  <c r="G42" i="5"/>
  <c r="H42" i="5"/>
  <c r="I42" i="5"/>
  <c r="G43" i="5"/>
  <c r="H43" i="5"/>
  <c r="I43" i="5"/>
  <c r="G44" i="5"/>
  <c r="H44" i="5"/>
  <c r="I44" i="5"/>
  <c r="G45" i="5"/>
  <c r="H45" i="5"/>
  <c r="I45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B2" i="6"/>
  <c r="B3" i="6"/>
  <c r="I8" i="6"/>
  <c r="I9" i="6"/>
  <c r="I10" i="6"/>
  <c r="I11" i="6"/>
  <c r="B2" i="7"/>
  <c r="B3" i="7"/>
  <c r="I8" i="7"/>
  <c r="I9" i="7"/>
  <c r="I10" i="7"/>
  <c r="I11" i="7"/>
  <c r="B2" i="9"/>
  <c r="B3" i="9"/>
  <c r="I8" i="9"/>
  <c r="I9" i="9"/>
  <c r="I10" i="9"/>
  <c r="I11" i="9"/>
  <c r="I12" i="9"/>
  <c r="B2" i="10"/>
  <c r="B3" i="10"/>
  <c r="I8" i="10"/>
  <c r="I9" i="10"/>
  <c r="I10" i="10"/>
  <c r="I11" i="10"/>
  <c r="B2" i="11"/>
  <c r="B3" i="11"/>
  <c r="I8" i="11"/>
  <c r="I9" i="11"/>
  <c r="I10" i="11"/>
  <c r="I11" i="11"/>
  <c r="I12" i="11"/>
  <c r="B2" i="12"/>
  <c r="B3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B2" i="13"/>
  <c r="B3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</calcChain>
</file>

<file path=xl/sharedStrings.xml><?xml version="1.0" encoding="utf-8"?>
<sst xmlns="http://schemas.openxmlformats.org/spreadsheetml/2006/main" count="319" uniqueCount="64">
  <si>
    <t>Perimetro</t>
  </si>
  <si>
    <t>F47</t>
  </si>
  <si>
    <t>ml</t>
  </si>
  <si>
    <t>Área</t>
  </si>
  <si>
    <t>Subtr.</t>
  </si>
  <si>
    <t>Spc</t>
  </si>
  <si>
    <t>#</t>
  </si>
  <si>
    <t>Total</t>
  </si>
  <si>
    <t>Local</t>
  </si>
  <si>
    <t>Guias</t>
  </si>
  <si>
    <t>unid.</t>
  </si>
  <si>
    <t>Lado1</t>
  </si>
  <si>
    <t>Lado2</t>
  </si>
  <si>
    <t>Emp.:</t>
  </si>
  <si>
    <t>Obr.:</t>
  </si>
  <si>
    <t>Loc.:</t>
  </si>
  <si>
    <t>ll F47</t>
  </si>
  <si>
    <t>T F47</t>
  </si>
  <si>
    <t>Area</t>
  </si>
  <si>
    <t>Pav.</t>
  </si>
  <si>
    <t>Qtd. Pav.</t>
  </si>
  <si>
    <t>Coef.</t>
  </si>
  <si>
    <t>Empresa:</t>
  </si>
  <si>
    <t>Obra:</t>
  </si>
  <si>
    <t>Endereço:</t>
  </si>
  <si>
    <t>Cidade:</t>
  </si>
  <si>
    <t>Tirante</t>
  </si>
  <si>
    <t>T25</t>
  </si>
  <si>
    <t>MM</t>
  </si>
  <si>
    <t>Massa</t>
  </si>
  <si>
    <t>Fita</t>
  </si>
  <si>
    <t>Guia</t>
  </si>
  <si>
    <t>Sp. Niv.</t>
  </si>
  <si>
    <t>LEVANTAMENTO DOS MATERIAIS PARA TETO</t>
  </si>
  <si>
    <t>Espçto</t>
  </si>
  <si>
    <t>Qtd. Und.</t>
  </si>
  <si>
    <t>Total Geral</t>
  </si>
  <si>
    <t>(m2)</t>
  </si>
  <si>
    <t>(ml)</t>
  </si>
  <si>
    <t>(und)</t>
  </si>
  <si>
    <t>(kg)</t>
  </si>
  <si>
    <t>Antares Engenharia Ltda</t>
  </si>
  <si>
    <t>Comfort Tag Flat</t>
  </si>
  <si>
    <t>Setor Hoteleiro - Projeção D</t>
  </si>
  <si>
    <t>Taguatinga / DF</t>
  </si>
  <si>
    <t xml:space="preserve"> </t>
  </si>
  <si>
    <t>1 ao 8 pav apts 9, 10, 11</t>
  </si>
  <si>
    <t>9 pav apts 1,2,16,17</t>
  </si>
  <si>
    <t>9 pav aptos 3,4,12</t>
  </si>
  <si>
    <t>9 pav aptos 5a10, 13a15</t>
  </si>
  <si>
    <t>9 pav aptos 11</t>
  </si>
  <si>
    <t>Corredor</t>
  </si>
  <si>
    <t>TOTAL M²</t>
  </si>
  <si>
    <t>Quat. Metro</t>
  </si>
  <si>
    <t>R$ Unit.</t>
  </si>
  <si>
    <t>Total (R$)</t>
  </si>
  <si>
    <t>TOTAL (R$/m)</t>
  </si>
  <si>
    <t>Chapa</t>
  </si>
  <si>
    <t>Park Way</t>
  </si>
  <si>
    <t>Corpo de bombeiros</t>
  </si>
  <si>
    <t>comfort Tag Flat</t>
  </si>
  <si>
    <t>Via Empreendimentos</t>
  </si>
  <si>
    <t>Corpo de Bombeiros</t>
  </si>
  <si>
    <t>(3,4x3,4)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</si>
</sst>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164" fontId="3" fillId="0" borderId="0" xfId="2" applyFont="1" applyFill="1" applyAlignment="1">
      <alignment horizontal="right"/>
    </xf>
    <xf numFmtId="0" fontId="4" fillId="2" borderId="0" xfId="0" applyFont="1" applyFill="1"/>
    <xf numFmtId="9" fontId="4" fillId="2" borderId="0" xfId="1" applyFont="1" applyFill="1" applyAlignment="1">
      <alignment horizontal="center"/>
    </xf>
    <xf numFmtId="164" fontId="4" fillId="2" borderId="0" xfId="2" applyFont="1" applyFill="1" applyAlignment="1">
      <alignment horizontal="center"/>
    </xf>
    <xf numFmtId="164" fontId="4" fillId="2" borderId="0" xfId="2" applyFont="1" applyFill="1"/>
    <xf numFmtId="0" fontId="3" fillId="2" borderId="0" xfId="0" applyFont="1" applyFill="1"/>
    <xf numFmtId="0" fontId="4" fillId="2" borderId="1" xfId="0" applyFont="1" applyFill="1" applyBorder="1"/>
    <xf numFmtId="164" fontId="4" fillId="2" borderId="1" xfId="2" applyFont="1" applyFill="1" applyBorder="1" applyAlignment="1">
      <alignment horizontal="right"/>
    </xf>
    <xf numFmtId="165" fontId="4" fillId="2" borderId="1" xfId="2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2" applyFont="1"/>
    <xf numFmtId="165" fontId="3" fillId="0" borderId="0" xfId="0" applyNumberFormat="1" applyFont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" fillId="3" borderId="0" xfId="0" applyFont="1" applyFill="1"/>
    <xf numFmtId="164" fontId="4" fillId="0" borderId="0" xfId="2" applyFont="1" applyFill="1" applyBorder="1" applyAlignment="1">
      <alignment horizontal="right"/>
    </xf>
    <xf numFmtId="164" fontId="3" fillId="0" borderId="0" xfId="2" applyFont="1" applyFill="1" applyBorder="1" applyAlignment="1">
      <alignment horizontal="right"/>
    </xf>
    <xf numFmtId="164" fontId="4" fillId="2" borderId="0" xfId="2" applyFont="1" applyFill="1" applyBorder="1" applyAlignment="1">
      <alignment horizontal="right"/>
    </xf>
    <xf numFmtId="164" fontId="3" fillId="2" borderId="0" xfId="2" applyFont="1" applyFill="1" applyBorder="1"/>
    <xf numFmtId="0" fontId="4" fillId="0" borderId="0" xfId="0" applyFont="1" applyFill="1" applyBorder="1" applyAlignment="1">
      <alignment horizontal="right"/>
    </xf>
    <xf numFmtId="9" fontId="3" fillId="2" borderId="0" xfId="1" applyFont="1" applyFill="1" applyBorder="1"/>
    <xf numFmtId="165" fontId="4" fillId="0" borderId="0" xfId="0" applyNumberFormat="1" applyFont="1" applyFill="1" applyBorder="1"/>
    <xf numFmtId="165" fontId="4" fillId="0" borderId="0" xfId="2" applyNumberFormat="1" applyFont="1" applyFill="1" applyBorder="1"/>
    <xf numFmtId="9" fontId="3" fillId="0" borderId="0" xfId="1" applyFont="1" applyFill="1" applyBorder="1" applyAlignment="1">
      <alignment horizontal="right"/>
    </xf>
    <xf numFmtId="164" fontId="3" fillId="2" borderId="0" xfId="2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/>
    </xf>
    <xf numFmtId="164" fontId="3" fillId="3" borderId="0" xfId="2" applyFont="1" applyFill="1" applyBorder="1"/>
    <xf numFmtId="0" fontId="4" fillId="3" borderId="0" xfId="0" applyFont="1" applyFill="1"/>
    <xf numFmtId="165" fontId="4" fillId="3" borderId="0" xfId="2" applyNumberFormat="1" applyFont="1" applyFill="1"/>
    <xf numFmtId="164" fontId="4" fillId="3" borderId="0" xfId="2" applyFont="1" applyFill="1"/>
    <xf numFmtId="0" fontId="4" fillId="3" borderId="0" xfId="0" applyFont="1" applyFill="1" applyAlignment="1">
      <alignment horizontal="center"/>
    </xf>
    <xf numFmtId="9" fontId="4" fillId="3" borderId="0" xfId="1" applyFont="1" applyFill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0" borderId="0" xfId="0" applyFill="1"/>
    <xf numFmtId="0" fontId="5" fillId="0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/>
    <xf numFmtId="165" fontId="4" fillId="2" borderId="0" xfId="2" applyNumberFormat="1" applyFont="1" applyFill="1" applyBorder="1" applyAlignment="1">
      <alignment horizontal="right"/>
    </xf>
    <xf numFmtId="164" fontId="5" fillId="0" borderId="1" xfId="2" applyFont="1" applyFill="1" applyBorder="1" applyAlignment="1">
      <alignment horizontal="righ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2" applyNumberFormat="1" applyFont="1"/>
    <xf numFmtId="164" fontId="0" fillId="0" borderId="0" xfId="0" applyNumberFormat="1"/>
    <xf numFmtId="164" fontId="3" fillId="0" borderId="0" xfId="2" applyNumberFormat="1" applyFont="1" applyFill="1" applyBorder="1" applyAlignment="1">
      <alignment horizontal="right"/>
    </xf>
    <xf numFmtId="164" fontId="3" fillId="2" borderId="0" xfId="2" applyNumberFormat="1" applyFont="1" applyFill="1"/>
    <xf numFmtId="164" fontId="3" fillId="2" borderId="0" xfId="2" applyNumberFormat="1" applyFont="1" applyFill="1" applyBorder="1"/>
    <xf numFmtId="164" fontId="3" fillId="2" borderId="0" xfId="1" applyNumberFormat="1" applyFont="1" applyFill="1" applyBorder="1"/>
    <xf numFmtId="164" fontId="4" fillId="2" borderId="0" xfId="2" applyNumberFormat="1" applyFont="1" applyFill="1"/>
    <xf numFmtId="164" fontId="4" fillId="2" borderId="1" xfId="2" applyNumberFormat="1" applyFont="1" applyFill="1" applyBorder="1" applyAlignment="1">
      <alignment horizontal="right"/>
    </xf>
    <xf numFmtId="0" fontId="5" fillId="0" borderId="2" xfId="0" applyFont="1" applyFill="1" applyBorder="1" applyAlignment="1">
      <alignment horizontal="left"/>
    </xf>
    <xf numFmtId="164" fontId="2" fillId="0" borderId="0" xfId="2" applyFont="1" applyFill="1"/>
    <xf numFmtId="164" fontId="8" fillId="0" borderId="0" xfId="2" applyFont="1" applyFill="1"/>
    <xf numFmtId="164" fontId="5" fillId="0" borderId="0" xfId="2" applyFont="1" applyFill="1"/>
    <xf numFmtId="0" fontId="5" fillId="0" borderId="2" xfId="0" applyFont="1" applyFill="1" applyBorder="1" applyAlignment="1">
      <alignment horizontal="center"/>
    </xf>
    <xf numFmtId="0" fontId="2" fillId="0" borderId="0" xfId="0" applyFont="1" applyFill="1"/>
    <xf numFmtId="0" fontId="5" fillId="0" borderId="2" xfId="0" applyFont="1" applyBorder="1"/>
    <xf numFmtId="164" fontId="5" fillId="0" borderId="0" xfId="0" applyNumberFormat="1" applyFont="1" applyFill="1"/>
    <xf numFmtId="0" fontId="5" fillId="0" borderId="2" xfId="0" applyFont="1" applyBorder="1" applyAlignment="1">
      <alignment horizontal="left"/>
    </xf>
    <xf numFmtId="2" fontId="5" fillId="0" borderId="0" xfId="0" applyNumberFormat="1" applyFont="1" applyFill="1"/>
    <xf numFmtId="0" fontId="7" fillId="2" borderId="2" xfId="0" applyFont="1" applyFill="1" applyBorder="1" applyAlignment="1">
      <alignment horizontal="left"/>
    </xf>
    <xf numFmtId="165" fontId="7" fillId="2" borderId="3" xfId="0" applyNumberFormat="1" applyFont="1" applyFill="1" applyBorder="1" applyAlignment="1">
      <alignment horizontal="left"/>
    </xf>
    <xf numFmtId="164" fontId="2" fillId="0" borderId="0" xfId="2" applyNumberFormat="1" applyFont="1" applyFill="1"/>
    <xf numFmtId="164" fontId="2" fillId="0" borderId="0" xfId="2" applyFont="1"/>
    <xf numFmtId="164" fontId="4" fillId="2" borderId="1" xfId="2" applyFont="1" applyFill="1" applyBorder="1" applyAlignment="1">
      <alignment horizontal="center"/>
    </xf>
    <xf numFmtId="0" fontId="3" fillId="0" borderId="0" xfId="0" applyFont="1" applyAlignment="1">
      <alignment horizontal="right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B9" sqref="B9:J10"/>
    </sheetView>
  </sheetViews>
  <sheetFormatPr defaultRowHeight="12.75" x14ac:dyDescent="0.15"/>
  <cols>
    <col min="1" max="1" width="18.87890625" style="1" customWidth="1"/>
    <col min="2" max="4" width="8.8984375" style="1" customWidth="1"/>
    <col min="5" max="5" width="9.16796875" style="1"/>
    <col min="6" max="7" width="9.03515625" style="1" bestFit="1" customWidth="1"/>
    <col min="8" max="10" width="8.08984375" style="1" bestFit="1" customWidth="1"/>
    <col min="11" max="11" width="3.91015625" hidden="1" customWidth="1"/>
  </cols>
  <sheetData>
    <row r="1" spans="1:10" x14ac:dyDescent="0.15">
      <c r="A1" s="16" t="s">
        <v>22</v>
      </c>
      <c r="B1" s="21" t="s">
        <v>41</v>
      </c>
      <c r="C1" s="21"/>
      <c r="D1" s="21"/>
      <c r="E1" s="21"/>
      <c r="F1" s="21"/>
      <c r="G1" s="21"/>
      <c r="H1" s="21"/>
      <c r="I1" s="21"/>
      <c r="J1" s="21"/>
    </row>
    <row r="2" spans="1:10" x14ac:dyDescent="0.15">
      <c r="A2" s="16" t="s">
        <v>23</v>
      </c>
      <c r="B2" s="21" t="s">
        <v>42</v>
      </c>
      <c r="C2" s="21"/>
      <c r="D2" s="21"/>
      <c r="E2" s="21"/>
      <c r="F2" s="21"/>
      <c r="G2" s="21"/>
      <c r="H2" s="21"/>
      <c r="I2" s="21"/>
      <c r="J2" s="21"/>
    </row>
    <row r="3" spans="1:10" x14ac:dyDescent="0.15">
      <c r="A3" s="16" t="s">
        <v>24</v>
      </c>
      <c r="B3" s="21" t="s">
        <v>43</v>
      </c>
      <c r="C3" s="21"/>
      <c r="D3" s="21"/>
      <c r="E3" s="21"/>
      <c r="F3" s="21"/>
      <c r="G3" s="21"/>
      <c r="H3" s="21"/>
      <c r="I3" s="21"/>
      <c r="J3" s="21"/>
    </row>
    <row r="4" spans="1:10" x14ac:dyDescent="0.15">
      <c r="A4" s="16" t="s">
        <v>25</v>
      </c>
      <c r="B4" s="21" t="s">
        <v>44</v>
      </c>
      <c r="C4" s="21"/>
      <c r="D4" s="21"/>
      <c r="E4" s="21"/>
      <c r="F4" s="21"/>
      <c r="G4" s="21"/>
      <c r="H4" s="21"/>
      <c r="I4" s="21"/>
      <c r="J4" s="21"/>
    </row>
    <row r="5" spans="1:10" s="18" customFormat="1" x14ac:dyDescent="0.15">
      <c r="A5" s="19"/>
      <c r="B5" s="19"/>
      <c r="C5" s="17"/>
      <c r="D5" s="19"/>
      <c r="E5" s="20" t="s">
        <v>33</v>
      </c>
      <c r="F5" s="19"/>
      <c r="G5" s="19"/>
      <c r="H5" s="19"/>
      <c r="I5" s="19"/>
      <c r="J5" s="19"/>
    </row>
    <row r="6" spans="1:10" x14ac:dyDescent="0.15">
      <c r="A6" s="20" t="s">
        <v>8</v>
      </c>
      <c r="B6" s="20" t="s">
        <v>18</v>
      </c>
      <c r="C6" s="20" t="s">
        <v>31</v>
      </c>
      <c r="D6" s="20" t="s">
        <v>1</v>
      </c>
      <c r="E6" s="20" t="s">
        <v>26</v>
      </c>
      <c r="F6" s="20" t="s">
        <v>32</v>
      </c>
      <c r="G6" s="20" t="s">
        <v>27</v>
      </c>
      <c r="H6" s="20" t="s">
        <v>28</v>
      </c>
      <c r="I6" s="20" t="s">
        <v>29</v>
      </c>
      <c r="J6" s="20" t="s">
        <v>30</v>
      </c>
    </row>
    <row r="7" spans="1:10" x14ac:dyDescent="0.15">
      <c r="A7" s="20"/>
      <c r="B7" s="20" t="s">
        <v>37</v>
      </c>
      <c r="C7" s="20" t="s">
        <v>38</v>
      </c>
      <c r="D7" s="20" t="s">
        <v>38</v>
      </c>
      <c r="E7" s="20" t="s">
        <v>39</v>
      </c>
      <c r="F7" s="20" t="s">
        <v>39</v>
      </c>
      <c r="G7" s="20" t="s">
        <v>39</v>
      </c>
      <c r="H7" s="20" t="s">
        <v>39</v>
      </c>
      <c r="I7" s="20" t="s">
        <v>40</v>
      </c>
      <c r="J7" s="20" t="s">
        <v>38</v>
      </c>
    </row>
    <row r="8" spans="1:10" s="43" customFormat="1" x14ac:dyDescent="0.15">
      <c r="A8" s="44" t="s">
        <v>36</v>
      </c>
      <c r="B8" s="48">
        <f>SUM(B9:B30)</f>
        <v>602.68020000000001</v>
      </c>
      <c r="C8" s="48">
        <f t="shared" ref="C8:J8" si="0">SUM(C9:C30)</f>
        <v>550.12</v>
      </c>
      <c r="D8" s="48">
        <f t="shared" si="0"/>
        <v>1457.5231166666667</v>
      </c>
      <c r="E8" s="48">
        <f t="shared" si="0"/>
        <v>1217.4140040000002</v>
      </c>
      <c r="F8" s="48">
        <f t="shared" si="0"/>
        <v>1217.4140040000002</v>
      </c>
      <c r="G8" s="48">
        <f t="shared" si="0"/>
        <v>9040.2029999999995</v>
      </c>
      <c r="H8" s="48">
        <f t="shared" si="0"/>
        <v>180.80405999999999</v>
      </c>
      <c r="I8" s="48">
        <f t="shared" si="0"/>
        <v>271.20609000000002</v>
      </c>
      <c r="J8" s="48">
        <f t="shared" si="0"/>
        <v>843.75228000000004</v>
      </c>
    </row>
    <row r="9" spans="1:10" x14ac:dyDescent="0.15">
      <c r="A9" s="12" t="str">
        <f>'Tab1'!$B$4</f>
        <v>Park Way</v>
      </c>
      <c r="B9" s="13">
        <f>'Tab1'!$J$3</f>
        <v>241.57249999999999</v>
      </c>
      <c r="C9" s="13">
        <f>'Tab1'!$J$4</f>
        <v>311.82</v>
      </c>
      <c r="D9" s="13">
        <f>'Tab1'!$J$5</f>
        <v>503.27604166666663</v>
      </c>
      <c r="E9" s="13">
        <f t="shared" ref="E9:E14" si="1">B9*2.02</f>
        <v>487.97645</v>
      </c>
      <c r="F9" s="13">
        <f t="shared" ref="F9:F15" si="2">E9</f>
        <v>487.97645</v>
      </c>
      <c r="G9" s="13">
        <f t="shared" ref="G9:G14" si="3">B9*15</f>
        <v>3623.5874999999996</v>
      </c>
      <c r="H9" s="13">
        <f t="shared" ref="H9:H18" si="4">G9*0.02</f>
        <v>72.47175</v>
      </c>
      <c r="I9" s="13">
        <f t="shared" ref="I9:I14" si="5">B9*0.45</f>
        <v>108.70762499999999</v>
      </c>
      <c r="J9" s="13">
        <f t="shared" ref="J9:J14" si="6">B9*1.4</f>
        <v>338.20149999999995</v>
      </c>
    </row>
    <row r="10" spans="1:10" x14ac:dyDescent="0.15">
      <c r="A10" s="12" t="str">
        <f>'Tab2'!$B$4</f>
        <v>Corpo de bombeiros</v>
      </c>
      <c r="B10" s="13">
        <f>'Tab2'!$J$3</f>
        <v>272.86</v>
      </c>
      <c r="C10" s="13">
        <f>'Tab2'!$J$4</f>
        <v>162.00000000000003</v>
      </c>
      <c r="D10" s="13">
        <f>'Tab2'!$J$5</f>
        <v>682.15</v>
      </c>
      <c r="E10" s="13">
        <f t="shared" si="1"/>
        <v>551.17720000000008</v>
      </c>
      <c r="F10" s="13">
        <f t="shared" si="2"/>
        <v>551.17720000000008</v>
      </c>
      <c r="G10" s="13">
        <f t="shared" si="3"/>
        <v>4092.9</v>
      </c>
      <c r="H10" s="13">
        <f t="shared" si="4"/>
        <v>81.858000000000004</v>
      </c>
      <c r="I10" s="13">
        <f t="shared" si="5"/>
        <v>122.78700000000001</v>
      </c>
      <c r="J10" s="13">
        <f t="shared" si="6"/>
        <v>382.00400000000002</v>
      </c>
    </row>
    <row r="11" spans="1:10" x14ac:dyDescent="0.15">
      <c r="A11" s="12" t="str">
        <f>'Tab3'!$B$4</f>
        <v>1 ao 8 pav apts 9, 10, 11</v>
      </c>
      <c r="B11" s="13">
        <f>'Tab3'!$J$3</f>
        <v>0</v>
      </c>
      <c r="C11" s="13">
        <f>'Tab3'!$J$4</f>
        <v>0</v>
      </c>
      <c r="D11" s="13">
        <f>'Tab3'!$J$5</f>
        <v>0</v>
      </c>
      <c r="E11" s="13">
        <f t="shared" si="1"/>
        <v>0</v>
      </c>
      <c r="F11" s="13">
        <f t="shared" si="2"/>
        <v>0</v>
      </c>
      <c r="G11" s="13">
        <f t="shared" si="3"/>
        <v>0</v>
      </c>
      <c r="H11" s="13">
        <f t="shared" si="4"/>
        <v>0</v>
      </c>
      <c r="I11" s="13">
        <f t="shared" si="5"/>
        <v>0</v>
      </c>
      <c r="J11" s="13">
        <f t="shared" si="6"/>
        <v>0</v>
      </c>
    </row>
    <row r="12" spans="1:10" x14ac:dyDescent="0.15">
      <c r="A12" s="12" t="str">
        <f>'Tab4'!$B$4</f>
        <v>9 pav apts 1,2,16,17</v>
      </c>
      <c r="B12" s="13">
        <f>'Tab4'!$J$3</f>
        <v>0</v>
      </c>
      <c r="C12" s="13">
        <f>'Tab4'!$J$4</f>
        <v>0</v>
      </c>
      <c r="D12" s="13">
        <f>'Tab4'!$J$5</f>
        <v>0</v>
      </c>
      <c r="E12" s="13">
        <f t="shared" si="1"/>
        <v>0</v>
      </c>
      <c r="F12" s="13">
        <f t="shared" si="2"/>
        <v>0</v>
      </c>
      <c r="G12" s="13">
        <f t="shared" si="3"/>
        <v>0</v>
      </c>
      <c r="H12" s="13">
        <f t="shared" si="4"/>
        <v>0</v>
      </c>
      <c r="I12" s="13">
        <f t="shared" si="5"/>
        <v>0</v>
      </c>
      <c r="J12" s="13">
        <f t="shared" si="6"/>
        <v>0</v>
      </c>
    </row>
    <row r="13" spans="1:10" x14ac:dyDescent="0.15">
      <c r="A13" s="12" t="str">
        <f>'Tab5'!$B$4</f>
        <v>9 pav aptos 3,4,12</v>
      </c>
      <c r="B13" s="13">
        <f>'Tab5'!$J$3</f>
        <v>0</v>
      </c>
      <c r="C13" s="13">
        <f>'Tab5'!$J$4</f>
        <v>0</v>
      </c>
      <c r="D13" s="13">
        <f>'Tab5'!$J$5</f>
        <v>0</v>
      </c>
      <c r="E13" s="13">
        <f t="shared" si="1"/>
        <v>0</v>
      </c>
      <c r="F13" s="13">
        <f t="shared" si="2"/>
        <v>0</v>
      </c>
      <c r="G13" s="13">
        <f t="shared" si="3"/>
        <v>0</v>
      </c>
      <c r="H13" s="13">
        <f t="shared" si="4"/>
        <v>0</v>
      </c>
      <c r="I13" s="13">
        <f t="shared" si="5"/>
        <v>0</v>
      </c>
      <c r="J13" s="13">
        <f t="shared" si="6"/>
        <v>0</v>
      </c>
    </row>
    <row r="14" spans="1:10" x14ac:dyDescent="0.15">
      <c r="A14" s="12" t="str">
        <f>'Tab6'!$B$4</f>
        <v>9 pav aptos 5a10, 13a15</v>
      </c>
      <c r="B14" s="13">
        <f>'Tab6'!$J$3</f>
        <v>0</v>
      </c>
      <c r="C14" s="13">
        <f>'Tab6'!$J$4</f>
        <v>0</v>
      </c>
      <c r="D14" s="13">
        <f>'Tab6'!$J$5</f>
        <v>0</v>
      </c>
      <c r="E14" s="13">
        <f t="shared" si="1"/>
        <v>0</v>
      </c>
      <c r="F14" s="13">
        <f t="shared" si="2"/>
        <v>0</v>
      </c>
      <c r="G14" s="13">
        <f t="shared" si="3"/>
        <v>0</v>
      </c>
      <c r="H14" s="13">
        <f t="shared" si="4"/>
        <v>0</v>
      </c>
      <c r="I14" s="13">
        <f t="shared" si="5"/>
        <v>0</v>
      </c>
      <c r="J14" s="13">
        <f t="shared" si="6"/>
        <v>0</v>
      </c>
    </row>
    <row r="15" spans="1:10" x14ac:dyDescent="0.15">
      <c r="A15" s="12" t="str">
        <f>'Tab7'!$B$4</f>
        <v>9 pav aptos 11</v>
      </c>
      <c r="B15" s="13">
        <f>'Tab7'!$J$3</f>
        <v>0</v>
      </c>
      <c r="C15" s="13">
        <f>'Tab7'!$J$4</f>
        <v>0</v>
      </c>
      <c r="D15" s="13">
        <f>'Tab7'!$J$5</f>
        <v>0</v>
      </c>
      <c r="E15" s="13">
        <f>B15*2.02</f>
        <v>0</v>
      </c>
      <c r="F15" s="13">
        <f t="shared" si="2"/>
        <v>0</v>
      </c>
      <c r="G15" s="13">
        <f>B15*15</f>
        <v>0</v>
      </c>
      <c r="H15" s="13">
        <f t="shared" si="4"/>
        <v>0</v>
      </c>
      <c r="I15" s="13">
        <f>B15*0.45</f>
        <v>0</v>
      </c>
      <c r="J15" s="13">
        <f>B15*1.4</f>
        <v>0</v>
      </c>
    </row>
    <row r="16" spans="1:10" x14ac:dyDescent="0.15">
      <c r="A16" s="12" t="str">
        <f>'Tab8'!$B$4</f>
        <v>Corredor</v>
      </c>
      <c r="B16" s="13">
        <f>'Tab8'!$J$3</f>
        <v>0</v>
      </c>
      <c r="C16" s="13">
        <f>'Tab8'!$J$4</f>
        <v>0</v>
      </c>
      <c r="D16" s="13">
        <f>'Tab8'!$J$5</f>
        <v>0</v>
      </c>
      <c r="E16" s="13">
        <f>B16*2.02</f>
        <v>0</v>
      </c>
      <c r="F16" s="13">
        <f>E16</f>
        <v>0</v>
      </c>
      <c r="G16" s="13">
        <f>B16*15</f>
        <v>0</v>
      </c>
      <c r="H16" s="13">
        <f t="shared" si="4"/>
        <v>0</v>
      </c>
      <c r="I16" s="13">
        <f>B16*0.45</f>
        <v>0</v>
      </c>
      <c r="J16" s="13">
        <f>B16*1.4</f>
        <v>0</v>
      </c>
    </row>
    <row r="17" spans="1:10" s="52" customFormat="1" x14ac:dyDescent="0.15">
      <c r="A17" s="12" t="str">
        <f>'Tab9'!$B$4</f>
        <v>Corredor</v>
      </c>
      <c r="B17" s="50">
        <f>'Tab9'!$J$3</f>
        <v>0</v>
      </c>
      <c r="C17" s="50">
        <f>'Tab9'!$J$4</f>
        <v>0</v>
      </c>
      <c r="D17" s="50">
        <f>'Tab9'!$J$5</f>
        <v>0</v>
      </c>
      <c r="E17" s="51">
        <f>B17*2.02</f>
        <v>0</v>
      </c>
      <c r="F17" s="51">
        <f>E17</f>
        <v>0</v>
      </c>
      <c r="G17" s="51">
        <f>B17*15</f>
        <v>0</v>
      </c>
      <c r="H17" s="51">
        <f t="shared" si="4"/>
        <v>0</v>
      </c>
      <c r="I17" s="51">
        <f>B17*0.45</f>
        <v>0</v>
      </c>
      <c r="J17" s="51">
        <f>B17*1.4</f>
        <v>0</v>
      </c>
    </row>
    <row r="18" spans="1:10" x14ac:dyDescent="0.15">
      <c r="A18" s="12" t="str">
        <f>'Tab10'!$B$4</f>
        <v>Corredor</v>
      </c>
      <c r="B18" s="50">
        <f>'Tab10'!$J$3</f>
        <v>88.247700000000009</v>
      </c>
      <c r="C18" s="50">
        <f>'Tab10'!$J$4</f>
        <v>76.3</v>
      </c>
      <c r="D18" s="50">
        <f>'Tab10'!$J$5</f>
        <v>272.09707500000002</v>
      </c>
      <c r="E18" s="51">
        <f>B18*2.02</f>
        <v>178.26035400000001</v>
      </c>
      <c r="F18" s="51">
        <f>E18</f>
        <v>178.26035400000001</v>
      </c>
      <c r="G18" s="51">
        <f>B18*15</f>
        <v>1323.7155000000002</v>
      </c>
      <c r="H18" s="51">
        <f t="shared" si="4"/>
        <v>26.474310000000006</v>
      </c>
      <c r="I18" s="51">
        <f>B18*0.45</f>
        <v>39.711465000000004</v>
      </c>
      <c r="J18" s="51">
        <f>B18*1.4</f>
        <v>123.54678</v>
      </c>
    </row>
    <row r="19" spans="1:10" x14ac:dyDescent="0.1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1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1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1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</row>
  </sheetData>
  <printOptions horizontalCentered="1"/>
  <pageMargins left="0.59055118110236227" right="0.19685039370078741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&amp;C&amp;8&amp;F - &amp;D&amp;R&amp;8&amp;P/&amp;N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workbookViewId="0">
      <pane ySplit="7" topLeftCell="A8" activePane="bottomLeft" state="frozen"/>
      <selection pane="bottomLeft" activeCell="H8" sqref="H8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51" bestFit="1" customWidth="1"/>
    <col min="8" max="8" width="6.60546875" style="13" bestFit="1" customWidth="1"/>
    <col min="9" max="9" width="5.796875" style="12" bestFit="1" customWidth="1"/>
    <col min="10" max="10" width="6.33593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54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53">
        <v>0.48</v>
      </c>
      <c r="G2" s="5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">
        <v>60</v>
      </c>
      <c r="C3" s="36"/>
      <c r="D3" s="31"/>
      <c r="E3" s="2" t="s">
        <v>21</v>
      </c>
      <c r="F3" s="30">
        <v>0</v>
      </c>
      <c r="G3" s="56"/>
      <c r="H3" s="22" t="s">
        <v>3</v>
      </c>
      <c r="I3" s="28">
        <f>SUM(J8:J47)*(1+1*$F$3)*F5</f>
        <v>241.57249999999999</v>
      </c>
      <c r="J3" s="28">
        <f>I3*$F$4</f>
        <v>241.57249999999999</v>
      </c>
    </row>
    <row r="4" spans="1:10" x14ac:dyDescent="0.15">
      <c r="A4" s="33" t="s">
        <v>15</v>
      </c>
      <c r="B4" s="41" t="s">
        <v>58</v>
      </c>
      <c r="C4" s="37"/>
      <c r="D4" s="6"/>
      <c r="E4" s="2" t="s">
        <v>20</v>
      </c>
      <c r="F4" s="23">
        <v>1</v>
      </c>
      <c r="G4" s="55"/>
      <c r="H4" s="22" t="s">
        <v>9</v>
      </c>
      <c r="I4" s="29">
        <f>SUM(F8:F47)*(1+1*$F$3)*F5</f>
        <v>311.82</v>
      </c>
      <c r="J4" s="28">
        <f>I4*$F$4</f>
        <v>311.82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55"/>
      <c r="H5" s="22" t="s">
        <v>1</v>
      </c>
      <c r="I5" s="29">
        <f>SUM(H8:H47)*(1+1*$F$3)*F5</f>
        <v>503.27604166666663</v>
      </c>
      <c r="J5" s="28">
        <f>I5*$F$4</f>
        <v>503.27604166666663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57"/>
      <c r="H6" s="73" t="s">
        <v>1</v>
      </c>
      <c r="I6" s="73"/>
      <c r="J6" s="7"/>
    </row>
    <row r="7" spans="1:10" x14ac:dyDescent="0.15">
      <c r="A7" s="42" t="s">
        <v>6</v>
      </c>
      <c r="B7" s="8" t="s">
        <v>8</v>
      </c>
      <c r="C7" s="9" t="s">
        <v>11</v>
      </c>
      <c r="D7" s="9" t="s">
        <v>12</v>
      </c>
      <c r="E7" s="9" t="s">
        <v>4</v>
      </c>
      <c r="F7" s="10" t="s">
        <v>0</v>
      </c>
      <c r="G7" s="58" t="s">
        <v>5</v>
      </c>
      <c r="H7" s="10" t="s">
        <v>2</v>
      </c>
      <c r="I7" s="10" t="s">
        <v>10</v>
      </c>
      <c r="J7" s="10" t="s">
        <v>3</v>
      </c>
    </row>
    <row r="8" spans="1:10" x14ac:dyDescent="0.15">
      <c r="A8" s="11">
        <v>1</v>
      </c>
      <c r="C8" s="13">
        <v>2.9</v>
      </c>
      <c r="D8" s="13">
        <v>2.4</v>
      </c>
      <c r="E8" s="13">
        <v>0</v>
      </c>
      <c r="F8" s="13">
        <f t="shared" ref="F8:F18" si="0">((C8+D8)*2)-E8</f>
        <v>10.6</v>
      </c>
      <c r="G8" s="51">
        <f t="shared" ref="G8:G32" si="1">IF(F8&gt;0,$F$2,0)</f>
        <v>0.48</v>
      </c>
      <c r="H8" s="13">
        <f>IF(G8=0,0,(D8/G8)*C8)</f>
        <v>14.5</v>
      </c>
      <c r="I8" s="14">
        <f>H8/3</f>
        <v>4.833333333333333</v>
      </c>
      <c r="J8" s="13">
        <f>C8*D8</f>
        <v>6.96</v>
      </c>
    </row>
    <row r="9" spans="1:10" x14ac:dyDescent="0.15">
      <c r="A9" s="11">
        <v>2</v>
      </c>
      <c r="C9" s="13">
        <v>2</v>
      </c>
      <c r="D9" s="13">
        <v>1</v>
      </c>
      <c r="E9" s="13">
        <v>0</v>
      </c>
      <c r="F9" s="13">
        <f t="shared" si="0"/>
        <v>6</v>
      </c>
      <c r="G9" s="51">
        <f t="shared" si="1"/>
        <v>0.48</v>
      </c>
      <c r="H9" s="13">
        <f t="shared" ref="H9:H19" si="2">IF(G9=0,0,(D9/G9)*C9)</f>
        <v>4.166666666666667</v>
      </c>
      <c r="I9" s="14">
        <f t="shared" ref="I9:I32" si="3">H9/3</f>
        <v>1.3888888888888891</v>
      </c>
      <c r="J9" s="13">
        <f t="shared" ref="J9:J19" si="4">C9*D9</f>
        <v>2</v>
      </c>
    </row>
    <row r="10" spans="1:10" x14ac:dyDescent="0.15">
      <c r="A10" s="11">
        <v>3</v>
      </c>
      <c r="C10" s="13">
        <v>2</v>
      </c>
      <c r="D10" s="13">
        <v>2.2999999999999998</v>
      </c>
      <c r="E10" s="13">
        <v>0</v>
      </c>
      <c r="F10" s="13">
        <f t="shared" si="0"/>
        <v>8.6</v>
      </c>
      <c r="G10" s="51">
        <f t="shared" si="1"/>
        <v>0.48</v>
      </c>
      <c r="H10" s="13">
        <f t="shared" si="2"/>
        <v>9.5833333333333321</v>
      </c>
      <c r="I10" s="14">
        <f t="shared" si="3"/>
        <v>3.1944444444444442</v>
      </c>
      <c r="J10" s="13">
        <f t="shared" si="4"/>
        <v>4.5999999999999996</v>
      </c>
    </row>
    <row r="11" spans="1:10" x14ac:dyDescent="0.15">
      <c r="A11" s="11">
        <v>4</v>
      </c>
      <c r="C11" s="13">
        <v>2.7</v>
      </c>
      <c r="D11" s="13">
        <v>4.8</v>
      </c>
      <c r="E11" s="13">
        <v>0</v>
      </c>
      <c r="F11" s="13">
        <f t="shared" si="0"/>
        <v>15</v>
      </c>
      <c r="G11" s="51">
        <f t="shared" si="1"/>
        <v>0.48</v>
      </c>
      <c r="H11" s="13">
        <f t="shared" si="2"/>
        <v>27</v>
      </c>
      <c r="I11" s="14">
        <f t="shared" si="3"/>
        <v>9</v>
      </c>
      <c r="J11" s="13">
        <f t="shared" si="4"/>
        <v>12.96</v>
      </c>
    </row>
    <row r="12" spans="1:10" ht="12" customHeight="1" x14ac:dyDescent="0.15">
      <c r="C12" s="13">
        <v>5.9</v>
      </c>
      <c r="D12" s="13">
        <v>5.5</v>
      </c>
      <c r="F12" s="13">
        <f t="shared" si="0"/>
        <v>22.8</v>
      </c>
      <c r="G12" s="51">
        <f t="shared" si="1"/>
        <v>0.48</v>
      </c>
      <c r="H12" s="13">
        <f t="shared" si="2"/>
        <v>67.604166666666671</v>
      </c>
      <c r="I12" s="14">
        <f t="shared" si="3"/>
        <v>22.534722222222225</v>
      </c>
      <c r="J12" s="13">
        <f t="shared" si="4"/>
        <v>32.450000000000003</v>
      </c>
    </row>
    <row r="13" spans="1:10" x14ac:dyDescent="0.15">
      <c r="C13" s="13">
        <v>2.6</v>
      </c>
      <c r="D13" s="13">
        <v>2.17</v>
      </c>
      <c r="F13" s="13">
        <f t="shared" si="0"/>
        <v>9.5399999999999991</v>
      </c>
      <c r="G13" s="51">
        <f t="shared" si="1"/>
        <v>0.48</v>
      </c>
      <c r="H13" s="13">
        <f t="shared" si="2"/>
        <v>11.754166666666666</v>
      </c>
      <c r="I13" s="14">
        <f t="shared" si="3"/>
        <v>3.9180555555555556</v>
      </c>
      <c r="J13" s="13">
        <f t="shared" si="4"/>
        <v>5.6420000000000003</v>
      </c>
    </row>
    <row r="14" spans="1:10" x14ac:dyDescent="0.15">
      <c r="C14" s="13">
        <v>2.4</v>
      </c>
      <c r="D14" s="13">
        <v>2.8</v>
      </c>
      <c r="F14" s="13">
        <f t="shared" si="0"/>
        <v>10.399999999999999</v>
      </c>
      <c r="G14" s="51">
        <f t="shared" si="1"/>
        <v>0.48</v>
      </c>
      <c r="H14" s="13">
        <f t="shared" si="2"/>
        <v>13.999999999999998</v>
      </c>
      <c r="I14" s="14">
        <f t="shared" si="3"/>
        <v>4.6666666666666661</v>
      </c>
      <c r="J14" s="13">
        <f t="shared" si="4"/>
        <v>6.72</v>
      </c>
    </row>
    <row r="15" spans="1:10" x14ac:dyDescent="0.15">
      <c r="C15" s="13">
        <v>1.2</v>
      </c>
      <c r="D15" s="13">
        <v>1.85</v>
      </c>
      <c r="F15" s="13">
        <f t="shared" si="0"/>
        <v>6.1</v>
      </c>
      <c r="G15" s="51">
        <f t="shared" si="1"/>
        <v>0.48</v>
      </c>
      <c r="H15" s="13">
        <f t="shared" si="2"/>
        <v>4.625</v>
      </c>
      <c r="I15" s="14">
        <f t="shared" si="3"/>
        <v>1.5416666666666667</v>
      </c>
      <c r="J15" s="13">
        <f t="shared" si="4"/>
        <v>2.2200000000000002</v>
      </c>
    </row>
    <row r="16" spans="1:10" x14ac:dyDescent="0.15">
      <c r="C16" s="13">
        <v>2.2999999999999998</v>
      </c>
      <c r="D16" s="13">
        <v>2.8</v>
      </c>
      <c r="F16" s="13">
        <f t="shared" si="0"/>
        <v>10.199999999999999</v>
      </c>
      <c r="G16" s="51">
        <f t="shared" si="1"/>
        <v>0.48</v>
      </c>
      <c r="H16" s="13">
        <f t="shared" si="2"/>
        <v>13.416666666666664</v>
      </c>
      <c r="I16" s="14">
        <f t="shared" si="3"/>
        <v>4.4722222222222214</v>
      </c>
      <c r="J16" s="13">
        <f t="shared" si="4"/>
        <v>6.4399999999999995</v>
      </c>
    </row>
    <row r="17" spans="3:10" x14ac:dyDescent="0.15">
      <c r="C17" s="13">
        <v>2.25</v>
      </c>
      <c r="D17" s="13">
        <v>2.25</v>
      </c>
      <c r="F17" s="13">
        <f t="shared" si="0"/>
        <v>9</v>
      </c>
      <c r="G17" s="51">
        <f t="shared" si="1"/>
        <v>0.48</v>
      </c>
      <c r="H17" s="13">
        <f t="shared" si="2"/>
        <v>10.546875</v>
      </c>
      <c r="I17" s="14">
        <f t="shared" si="3"/>
        <v>3.515625</v>
      </c>
      <c r="J17" s="13">
        <f t="shared" si="4"/>
        <v>5.0625</v>
      </c>
    </row>
    <row r="18" spans="3:10" x14ac:dyDescent="0.15">
      <c r="C18" s="13">
        <v>1.8</v>
      </c>
      <c r="D18" s="13">
        <v>1.1499999999999999</v>
      </c>
      <c r="F18" s="13">
        <f t="shared" si="0"/>
        <v>5.9</v>
      </c>
      <c r="G18" s="51">
        <f t="shared" si="1"/>
        <v>0.48</v>
      </c>
      <c r="H18" s="13">
        <f t="shared" si="2"/>
        <v>4.3125</v>
      </c>
      <c r="I18" s="14">
        <f t="shared" si="3"/>
        <v>1.4375</v>
      </c>
      <c r="J18" s="13">
        <f t="shared" si="4"/>
        <v>2.0699999999999998</v>
      </c>
    </row>
    <row r="19" spans="3:10" x14ac:dyDescent="0.15">
      <c r="C19" s="13">
        <v>3</v>
      </c>
      <c r="D19" s="13">
        <v>3.5</v>
      </c>
      <c r="F19" s="13">
        <f>((C19+D19)*2)-E19</f>
        <v>13</v>
      </c>
      <c r="G19" s="51">
        <f t="shared" si="1"/>
        <v>0.48</v>
      </c>
      <c r="H19" s="13">
        <f t="shared" si="2"/>
        <v>21.875</v>
      </c>
      <c r="I19" s="14">
        <f t="shared" si="3"/>
        <v>7.291666666666667</v>
      </c>
      <c r="J19" s="13">
        <f t="shared" si="4"/>
        <v>10.5</v>
      </c>
    </row>
    <row r="20" spans="3:10" x14ac:dyDescent="0.15">
      <c r="C20" s="13">
        <v>4.4000000000000004</v>
      </c>
      <c r="D20" s="13">
        <v>3</v>
      </c>
      <c r="F20" s="13">
        <f t="shared" ref="F20:F26" si="5">((C20+D20)*2)-E20</f>
        <v>14.8</v>
      </c>
      <c r="G20" s="51">
        <f t="shared" si="1"/>
        <v>0.48</v>
      </c>
      <c r="H20" s="13">
        <f t="shared" ref="H20:H32" si="6">IF(G20=0,0,(D20/G20)*C20)</f>
        <v>27.500000000000004</v>
      </c>
      <c r="I20" s="14">
        <f t="shared" si="3"/>
        <v>9.1666666666666679</v>
      </c>
      <c r="J20" s="13">
        <f t="shared" ref="J20:J32" si="7">C20*D20</f>
        <v>13.200000000000001</v>
      </c>
    </row>
    <row r="21" spans="3:10" x14ac:dyDescent="0.15">
      <c r="C21" s="13">
        <v>3.3</v>
      </c>
      <c r="D21" s="13">
        <v>2.25</v>
      </c>
      <c r="F21" s="13">
        <f t="shared" si="5"/>
        <v>11.1</v>
      </c>
      <c r="G21" s="51">
        <f t="shared" si="1"/>
        <v>0.48</v>
      </c>
      <c r="H21" s="13">
        <f t="shared" si="6"/>
        <v>15.46875</v>
      </c>
      <c r="I21" s="14">
        <f t="shared" si="3"/>
        <v>5.15625</v>
      </c>
      <c r="J21" s="13">
        <f t="shared" si="7"/>
        <v>7.4249999999999998</v>
      </c>
    </row>
    <row r="22" spans="3:10" x14ac:dyDescent="0.15">
      <c r="C22" s="13">
        <v>5.7</v>
      </c>
      <c r="D22" s="13">
        <v>5.0999999999999996</v>
      </c>
      <c r="F22" s="13">
        <f t="shared" si="5"/>
        <v>21.6</v>
      </c>
      <c r="G22" s="51">
        <f t="shared" si="1"/>
        <v>0.48</v>
      </c>
      <c r="H22" s="13">
        <f t="shared" si="6"/>
        <v>60.5625</v>
      </c>
      <c r="I22" s="14">
        <f t="shared" si="3"/>
        <v>20.1875</v>
      </c>
      <c r="J22" s="13">
        <f t="shared" si="7"/>
        <v>29.07</v>
      </c>
    </row>
    <row r="23" spans="3:10" x14ac:dyDescent="0.15">
      <c r="C23" s="13">
        <v>3.3</v>
      </c>
      <c r="D23" s="13">
        <v>4.0999999999999996</v>
      </c>
      <c r="F23" s="13">
        <f t="shared" si="5"/>
        <v>14.799999999999999</v>
      </c>
      <c r="G23" s="51">
        <f t="shared" si="1"/>
        <v>0.48</v>
      </c>
      <c r="H23" s="13">
        <f t="shared" si="6"/>
        <v>28.187499999999996</v>
      </c>
      <c r="I23" s="14">
        <f t="shared" si="3"/>
        <v>9.3958333333333321</v>
      </c>
      <c r="J23" s="13">
        <f t="shared" si="7"/>
        <v>13.529999999999998</v>
      </c>
    </row>
    <row r="24" spans="3:10" x14ac:dyDescent="0.15">
      <c r="C24" s="13">
        <v>4.1500000000000004</v>
      </c>
      <c r="D24" s="13">
        <v>6.1</v>
      </c>
      <c r="F24" s="13">
        <f t="shared" si="5"/>
        <v>20.5</v>
      </c>
      <c r="G24" s="51">
        <f t="shared" si="1"/>
        <v>0.48</v>
      </c>
      <c r="H24" s="13">
        <f t="shared" si="6"/>
        <v>52.739583333333343</v>
      </c>
      <c r="I24" s="14">
        <f t="shared" si="3"/>
        <v>17.579861111111114</v>
      </c>
      <c r="J24" s="13">
        <f t="shared" si="7"/>
        <v>25.315000000000001</v>
      </c>
    </row>
    <row r="25" spans="3:10" x14ac:dyDescent="0.15">
      <c r="C25" s="13">
        <v>3.6</v>
      </c>
      <c r="D25" s="13">
        <v>11.8</v>
      </c>
      <c r="F25" s="13">
        <f t="shared" si="5"/>
        <v>30.8</v>
      </c>
      <c r="G25" s="51">
        <f t="shared" si="1"/>
        <v>0.48</v>
      </c>
      <c r="H25" s="13">
        <f t="shared" si="6"/>
        <v>88.500000000000014</v>
      </c>
      <c r="I25" s="14">
        <f t="shared" si="3"/>
        <v>29.500000000000004</v>
      </c>
      <c r="J25" s="13">
        <f t="shared" si="7"/>
        <v>42.480000000000004</v>
      </c>
    </row>
    <row r="26" spans="3:10" x14ac:dyDescent="0.15">
      <c r="C26" s="13">
        <v>2.5</v>
      </c>
      <c r="D26" s="13">
        <v>2</v>
      </c>
      <c r="F26" s="13">
        <f t="shared" si="5"/>
        <v>9</v>
      </c>
      <c r="G26" s="51">
        <f t="shared" si="1"/>
        <v>0.48</v>
      </c>
      <c r="H26" s="13">
        <f t="shared" si="6"/>
        <v>10.416666666666668</v>
      </c>
      <c r="I26" s="14">
        <f t="shared" si="3"/>
        <v>3.4722222222222228</v>
      </c>
      <c r="J26" s="13">
        <f t="shared" si="7"/>
        <v>5</v>
      </c>
    </row>
    <row r="27" spans="3:10" x14ac:dyDescent="0.15">
      <c r="C27" s="13">
        <v>0.3</v>
      </c>
      <c r="D27" s="13">
        <v>2.7</v>
      </c>
      <c r="F27" s="13">
        <f t="shared" ref="F27:F32" si="8">((C27+D27)*2)-E27</f>
        <v>6</v>
      </c>
      <c r="G27" s="51">
        <f t="shared" si="1"/>
        <v>0.48</v>
      </c>
      <c r="H27" s="13">
        <f t="shared" si="6"/>
        <v>1.6875000000000002</v>
      </c>
      <c r="I27" s="14">
        <f t="shared" si="3"/>
        <v>0.56250000000000011</v>
      </c>
      <c r="J27" s="13">
        <f t="shared" si="7"/>
        <v>0.81</v>
      </c>
    </row>
    <row r="28" spans="3:10" x14ac:dyDescent="0.15">
      <c r="C28" s="13">
        <v>0.3</v>
      </c>
      <c r="D28" s="13">
        <v>5.7</v>
      </c>
      <c r="F28" s="13">
        <f t="shared" si="8"/>
        <v>12</v>
      </c>
      <c r="G28" s="51">
        <f t="shared" si="1"/>
        <v>0.48</v>
      </c>
      <c r="H28" s="13">
        <f t="shared" si="6"/>
        <v>3.5625</v>
      </c>
      <c r="I28" s="14">
        <f t="shared" si="3"/>
        <v>1.1875</v>
      </c>
      <c r="J28" s="13">
        <f t="shared" si="7"/>
        <v>1.71</v>
      </c>
    </row>
    <row r="29" spans="3:10" x14ac:dyDescent="0.15">
      <c r="C29" s="13">
        <v>0.3</v>
      </c>
      <c r="D29" s="13">
        <v>11.8</v>
      </c>
      <c r="F29" s="13">
        <f t="shared" si="8"/>
        <v>24.200000000000003</v>
      </c>
      <c r="G29" s="51">
        <f t="shared" si="1"/>
        <v>0.48</v>
      </c>
      <c r="H29" s="13">
        <f t="shared" si="6"/>
        <v>7.375</v>
      </c>
      <c r="I29" s="14">
        <f t="shared" si="3"/>
        <v>2.4583333333333335</v>
      </c>
      <c r="J29" s="13">
        <f t="shared" si="7"/>
        <v>3.54</v>
      </c>
    </row>
    <row r="30" spans="3:10" x14ac:dyDescent="0.15">
      <c r="C30" s="13">
        <v>0.2</v>
      </c>
      <c r="D30" s="13">
        <v>5</v>
      </c>
      <c r="F30" s="13">
        <f t="shared" si="8"/>
        <v>10.4</v>
      </c>
      <c r="G30" s="51">
        <f t="shared" si="1"/>
        <v>0.48</v>
      </c>
      <c r="H30" s="13">
        <f t="shared" si="6"/>
        <v>2.0833333333333335</v>
      </c>
      <c r="I30" s="14">
        <f t="shared" si="3"/>
        <v>0.69444444444444453</v>
      </c>
      <c r="J30" s="13">
        <f t="shared" si="7"/>
        <v>1</v>
      </c>
    </row>
    <row r="31" spans="3:10" x14ac:dyDescent="0.15">
      <c r="C31" s="13">
        <v>0.2</v>
      </c>
      <c r="D31" s="13">
        <v>2.17</v>
      </c>
      <c r="F31" s="13">
        <f t="shared" si="8"/>
        <v>4.74</v>
      </c>
      <c r="G31" s="51">
        <f t="shared" si="1"/>
        <v>0.48</v>
      </c>
      <c r="H31" s="13">
        <f t="shared" si="6"/>
        <v>0.90416666666666667</v>
      </c>
      <c r="I31" s="14">
        <f t="shared" si="3"/>
        <v>0.30138888888888887</v>
      </c>
      <c r="J31" s="13">
        <f t="shared" si="7"/>
        <v>0.434</v>
      </c>
    </row>
    <row r="32" spans="3:10" x14ac:dyDescent="0.15">
      <c r="C32" s="13">
        <v>0.2</v>
      </c>
      <c r="D32" s="13">
        <v>2.17</v>
      </c>
      <c r="F32" s="13">
        <f t="shared" si="8"/>
        <v>4.74</v>
      </c>
      <c r="G32" s="51">
        <f t="shared" si="1"/>
        <v>0.48</v>
      </c>
      <c r="H32" s="13">
        <f t="shared" si="6"/>
        <v>0.90416666666666667</v>
      </c>
      <c r="I32" s="14">
        <f t="shared" si="3"/>
        <v>0.30138888888888887</v>
      </c>
      <c r="J32" s="13">
        <f t="shared" si="7"/>
        <v>0.434</v>
      </c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8"/>
  <sheetViews>
    <sheetView tabSelected="1" topLeftCell="B1" workbookViewId="0">
      <pane ySplit="7" topLeftCell="B8" activePane="bottomLeft" state="frozen"/>
      <selection activeCell="B1" sqref="B1"/>
      <selection pane="bottomLeft" activeCell="G19" sqref="G19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9" width="5.796875" style="12" bestFit="1" customWidth="1"/>
    <col min="10" max="10" width="6.33593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">
        <v>42</v>
      </c>
      <c r="C3" s="36"/>
      <c r="D3" s="31"/>
      <c r="E3" s="2" t="s">
        <v>21</v>
      </c>
      <c r="F3" s="30">
        <v>0</v>
      </c>
      <c r="G3" s="27"/>
      <c r="H3" s="22" t="s">
        <v>3</v>
      </c>
      <c r="I3" s="28">
        <f>SUM(J8:J58)*(1+1*$F$3)*F5</f>
        <v>272.86</v>
      </c>
      <c r="J3" s="28">
        <f>I3*$F$4</f>
        <v>272.86</v>
      </c>
    </row>
    <row r="4" spans="1:10" x14ac:dyDescent="0.15">
      <c r="A4" s="33" t="s">
        <v>15</v>
      </c>
      <c r="B4" s="41" t="s">
        <v>59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SUM(F8:F58)*(1+1*$F$3)*F5</f>
        <v>162.00000000000003</v>
      </c>
      <c r="J4" s="28">
        <f>I4*$F$4</f>
        <v>162.00000000000003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SUM(H8:H18)*(1+1*$F$3)*F5</f>
        <v>682.15</v>
      </c>
      <c r="J5" s="28">
        <f>I5*$F$4</f>
        <v>682.15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2" t="s">
        <v>6</v>
      </c>
      <c r="B7" s="8" t="s">
        <v>8</v>
      </c>
      <c r="C7" s="9" t="s">
        <v>11</v>
      </c>
      <c r="D7" s="9" t="s">
        <v>12</v>
      </c>
      <c r="E7" s="9" t="s">
        <v>4</v>
      </c>
      <c r="F7" s="10" t="s">
        <v>0</v>
      </c>
      <c r="G7" s="9" t="s">
        <v>5</v>
      </c>
      <c r="H7" s="10" t="s">
        <v>2</v>
      </c>
      <c r="I7" s="10" t="s">
        <v>10</v>
      </c>
      <c r="J7" s="10" t="s">
        <v>3</v>
      </c>
    </row>
    <row r="8" spans="1:10" x14ac:dyDescent="0.15">
      <c r="A8" s="11">
        <v>1</v>
      </c>
      <c r="C8" s="13">
        <v>4</v>
      </c>
      <c r="D8" s="13">
        <v>15.8</v>
      </c>
      <c r="E8" s="13">
        <v>0</v>
      </c>
      <c r="F8" s="13">
        <f>((C8+D8)*2)-E8</f>
        <v>39.6</v>
      </c>
      <c r="G8" s="13">
        <f t="shared" ref="G8:G14" si="0">IF(F8&gt;0,$F$2,0)</f>
        <v>0.4</v>
      </c>
      <c r="H8" s="13">
        <f t="shared" ref="H8:H13" si="1">IF(G8=0,0,(D8/G8)*C8)</f>
        <v>158</v>
      </c>
      <c r="I8" s="14">
        <f>H8/4</f>
        <v>39.5</v>
      </c>
      <c r="J8" s="13">
        <f>C8*D8</f>
        <v>63.2</v>
      </c>
    </row>
    <row r="9" spans="1:10" x14ac:dyDescent="0.15">
      <c r="A9" s="11">
        <v>2</v>
      </c>
      <c r="C9" s="13">
        <v>6.7</v>
      </c>
      <c r="D9" s="13">
        <v>19.399999999999999</v>
      </c>
      <c r="E9" s="13">
        <v>0</v>
      </c>
      <c r="F9" s="13">
        <f>((C9+D9)*2)-E9</f>
        <v>52.199999999999996</v>
      </c>
      <c r="G9" s="13">
        <f t="shared" si="0"/>
        <v>0.4</v>
      </c>
      <c r="H9" s="13">
        <f t="shared" si="1"/>
        <v>324.95</v>
      </c>
      <c r="I9" s="14">
        <f>H9/3</f>
        <v>108.31666666666666</v>
      </c>
      <c r="J9" s="13">
        <f>C9*D9</f>
        <v>129.97999999999999</v>
      </c>
    </row>
    <row r="10" spans="1:10" x14ac:dyDescent="0.15">
      <c r="A10" s="11">
        <v>3</v>
      </c>
      <c r="C10" s="13">
        <v>4.0999999999999996</v>
      </c>
      <c r="D10" s="13">
        <v>4.2</v>
      </c>
      <c r="E10" s="13">
        <v>0</v>
      </c>
      <c r="F10" s="13">
        <f>((C10+D10)*2)-E10</f>
        <v>16.600000000000001</v>
      </c>
      <c r="G10" s="13">
        <f t="shared" si="0"/>
        <v>0.4</v>
      </c>
      <c r="H10" s="13">
        <f t="shared" si="1"/>
        <v>43.05</v>
      </c>
      <c r="I10" s="14">
        <f>H10/4</f>
        <v>10.762499999999999</v>
      </c>
      <c r="J10" s="13">
        <f>C10*D10</f>
        <v>17.22</v>
      </c>
    </row>
    <row r="11" spans="1:10" ht="12" customHeight="1" x14ac:dyDescent="0.15">
      <c r="A11" s="11">
        <v>4</v>
      </c>
      <c r="C11" s="13">
        <v>2.2999999999999998</v>
      </c>
      <c r="D11" s="13">
        <v>4.3</v>
      </c>
      <c r="E11" s="13">
        <v>0</v>
      </c>
      <c r="F11" s="13">
        <f>((C11+D11)*2)-E11</f>
        <v>13.2</v>
      </c>
      <c r="G11" s="13">
        <f t="shared" si="0"/>
        <v>0.4</v>
      </c>
      <c r="H11" s="13">
        <f t="shared" si="1"/>
        <v>24.724999999999994</v>
      </c>
      <c r="I11" s="14">
        <f>H11/4</f>
        <v>6.1812499999999986</v>
      </c>
      <c r="J11" s="13">
        <f>C11*D11</f>
        <v>9.8899999999999988</v>
      </c>
    </row>
    <row r="12" spans="1:10" x14ac:dyDescent="0.15">
      <c r="C12" s="13">
        <v>4</v>
      </c>
      <c r="D12" s="13">
        <v>4</v>
      </c>
      <c r="E12" s="13">
        <v>0</v>
      </c>
      <c r="F12" s="13">
        <f t="shared" ref="F12:F58" si="2">((C12+D12)*2)-E12</f>
        <v>16</v>
      </c>
      <c r="G12" s="13">
        <f t="shared" si="0"/>
        <v>0.4</v>
      </c>
      <c r="H12" s="13">
        <f t="shared" si="1"/>
        <v>40</v>
      </c>
      <c r="I12" s="14">
        <f>H12/4</f>
        <v>10</v>
      </c>
      <c r="J12" s="13">
        <f t="shared" ref="J12:J58" si="3">C12*D12</f>
        <v>16</v>
      </c>
    </row>
    <row r="13" spans="1:10" x14ac:dyDescent="0.15">
      <c r="B13" s="74" t="s">
        <v>63</v>
      </c>
      <c r="C13" s="13">
        <v>6.9</v>
      </c>
      <c r="D13" s="13">
        <v>5.3</v>
      </c>
      <c r="E13" s="13">
        <v>0</v>
      </c>
      <c r="F13" s="13">
        <f t="shared" si="2"/>
        <v>24.4</v>
      </c>
      <c r="G13" s="13">
        <f t="shared" si="0"/>
        <v>0.4</v>
      </c>
      <c r="H13" s="13">
        <f>IF(G13=0,0,(D13/G13)*C13)</f>
        <v>91.424999999999997</v>
      </c>
      <c r="I13" s="14">
        <f>H13/4</f>
        <v>22.856249999999999</v>
      </c>
      <c r="J13" s="13">
        <f t="shared" si="3"/>
        <v>36.57</v>
      </c>
    </row>
    <row r="14" spans="1:10" x14ac:dyDescent="0.15">
      <c r="E14" s="13">
        <v>0</v>
      </c>
      <c r="F14" s="13">
        <f t="shared" si="2"/>
        <v>0</v>
      </c>
      <c r="G14" s="13">
        <f t="shared" si="0"/>
        <v>0</v>
      </c>
      <c r="H14" s="13">
        <f t="shared" ref="H14:H58" si="4">IF(G14=0,0,(D14/G14)*C14)</f>
        <v>0</v>
      </c>
      <c r="I14" s="14">
        <f t="shared" ref="I12:I58" si="5">H14/3</f>
        <v>0</v>
      </c>
      <c r="J14" s="13">
        <f t="shared" si="3"/>
        <v>0</v>
      </c>
    </row>
    <row r="15" spans="1:10" x14ac:dyDescent="0.15">
      <c r="F15" s="13">
        <f t="shared" si="2"/>
        <v>0</v>
      </c>
      <c r="G15" s="13">
        <f t="shared" ref="G15:G58" si="6">IF(F15&gt;0,$F$2,0)</f>
        <v>0</v>
      </c>
      <c r="H15" s="13">
        <f t="shared" si="4"/>
        <v>0</v>
      </c>
      <c r="I15" s="14">
        <f t="shared" si="5"/>
        <v>0</v>
      </c>
      <c r="J15" s="13">
        <f t="shared" si="3"/>
        <v>0</v>
      </c>
    </row>
    <row r="16" spans="1:10" x14ac:dyDescent="0.15">
      <c r="F16" s="13">
        <f t="shared" si="2"/>
        <v>0</v>
      </c>
      <c r="G16" s="13">
        <f t="shared" si="6"/>
        <v>0</v>
      </c>
      <c r="H16" s="13">
        <f t="shared" si="4"/>
        <v>0</v>
      </c>
      <c r="I16" s="14">
        <f t="shared" si="5"/>
        <v>0</v>
      </c>
      <c r="J16" s="13">
        <f t="shared" si="3"/>
        <v>0</v>
      </c>
    </row>
    <row r="17" spans="6:10" x14ac:dyDescent="0.15">
      <c r="F17" s="13">
        <f t="shared" si="2"/>
        <v>0</v>
      </c>
      <c r="G17" s="13">
        <f t="shared" si="6"/>
        <v>0</v>
      </c>
      <c r="H17" s="13">
        <f t="shared" si="4"/>
        <v>0</v>
      </c>
      <c r="I17" s="14">
        <f t="shared" si="5"/>
        <v>0</v>
      </c>
      <c r="J17" s="13">
        <f t="shared" si="3"/>
        <v>0</v>
      </c>
    </row>
    <row r="18" spans="6:10" x14ac:dyDescent="0.15">
      <c r="F18" s="13">
        <f t="shared" si="2"/>
        <v>0</v>
      </c>
      <c r="G18" s="13">
        <f t="shared" si="6"/>
        <v>0</v>
      </c>
      <c r="H18" s="13">
        <f t="shared" si="4"/>
        <v>0</v>
      </c>
      <c r="I18" s="14">
        <f t="shared" si="5"/>
        <v>0</v>
      </c>
      <c r="J18" s="13">
        <f t="shared" si="3"/>
        <v>0</v>
      </c>
    </row>
    <row r="19" spans="6:10" x14ac:dyDescent="0.15">
      <c r="F19" s="13">
        <f t="shared" si="2"/>
        <v>0</v>
      </c>
      <c r="G19" s="13">
        <f t="shared" si="6"/>
        <v>0</v>
      </c>
      <c r="H19" s="13">
        <f t="shared" si="4"/>
        <v>0</v>
      </c>
      <c r="I19" s="14">
        <f t="shared" si="5"/>
        <v>0</v>
      </c>
      <c r="J19" s="13">
        <f t="shared" si="3"/>
        <v>0</v>
      </c>
    </row>
    <row r="20" spans="6:10" x14ac:dyDescent="0.15">
      <c r="F20" s="13">
        <f t="shared" si="2"/>
        <v>0</v>
      </c>
      <c r="G20" s="13">
        <f t="shared" si="6"/>
        <v>0</v>
      </c>
      <c r="H20" s="13">
        <f t="shared" si="4"/>
        <v>0</v>
      </c>
      <c r="I20" s="14">
        <f t="shared" si="5"/>
        <v>0</v>
      </c>
      <c r="J20" s="13">
        <f t="shared" si="3"/>
        <v>0</v>
      </c>
    </row>
    <row r="21" spans="6:10" x14ac:dyDescent="0.15">
      <c r="F21" s="13">
        <f t="shared" si="2"/>
        <v>0</v>
      </c>
      <c r="G21" s="13">
        <f t="shared" si="6"/>
        <v>0</v>
      </c>
      <c r="H21" s="13">
        <f t="shared" si="4"/>
        <v>0</v>
      </c>
      <c r="I21" s="14">
        <f t="shared" si="5"/>
        <v>0</v>
      </c>
      <c r="J21" s="13">
        <f t="shared" si="3"/>
        <v>0</v>
      </c>
    </row>
    <row r="22" spans="6:10" x14ac:dyDescent="0.15">
      <c r="F22" s="13">
        <f t="shared" si="2"/>
        <v>0</v>
      </c>
      <c r="G22" s="13">
        <f t="shared" si="6"/>
        <v>0</v>
      </c>
      <c r="H22" s="13">
        <f t="shared" si="4"/>
        <v>0</v>
      </c>
      <c r="I22" s="14">
        <f t="shared" si="5"/>
        <v>0</v>
      </c>
      <c r="J22" s="13">
        <f t="shared" si="3"/>
        <v>0</v>
      </c>
    </row>
    <row r="23" spans="6:10" x14ac:dyDescent="0.15">
      <c r="F23" s="13">
        <f t="shared" si="2"/>
        <v>0</v>
      </c>
      <c r="G23" s="13">
        <f t="shared" si="6"/>
        <v>0</v>
      </c>
      <c r="H23" s="13">
        <f t="shared" si="4"/>
        <v>0</v>
      </c>
      <c r="I23" s="14">
        <f t="shared" si="5"/>
        <v>0</v>
      </c>
      <c r="J23" s="13">
        <f t="shared" si="3"/>
        <v>0</v>
      </c>
    </row>
    <row r="24" spans="6:10" x14ac:dyDescent="0.15">
      <c r="F24" s="13">
        <f t="shared" si="2"/>
        <v>0</v>
      </c>
      <c r="G24" s="13">
        <f t="shared" si="6"/>
        <v>0</v>
      </c>
      <c r="H24" s="13">
        <f t="shared" si="4"/>
        <v>0</v>
      </c>
      <c r="I24" s="14">
        <f t="shared" si="5"/>
        <v>0</v>
      </c>
      <c r="J24" s="13">
        <f t="shared" si="3"/>
        <v>0</v>
      </c>
    </row>
    <row r="25" spans="6:10" x14ac:dyDescent="0.15">
      <c r="F25" s="13">
        <f t="shared" si="2"/>
        <v>0</v>
      </c>
      <c r="G25" s="13">
        <f t="shared" si="6"/>
        <v>0</v>
      </c>
      <c r="H25" s="13">
        <f t="shared" si="4"/>
        <v>0</v>
      </c>
      <c r="I25" s="14">
        <f t="shared" si="5"/>
        <v>0</v>
      </c>
      <c r="J25" s="13">
        <f t="shared" si="3"/>
        <v>0</v>
      </c>
    </row>
    <row r="26" spans="6:10" x14ac:dyDescent="0.15">
      <c r="F26" s="13">
        <f t="shared" si="2"/>
        <v>0</v>
      </c>
      <c r="G26" s="13">
        <f t="shared" si="6"/>
        <v>0</v>
      </c>
      <c r="H26" s="13">
        <f t="shared" si="4"/>
        <v>0</v>
      </c>
      <c r="I26" s="14">
        <f t="shared" si="5"/>
        <v>0</v>
      </c>
      <c r="J26" s="13">
        <f t="shared" si="3"/>
        <v>0</v>
      </c>
    </row>
    <row r="27" spans="6:10" x14ac:dyDescent="0.15">
      <c r="F27" s="13">
        <f t="shared" si="2"/>
        <v>0</v>
      </c>
      <c r="G27" s="13">
        <f t="shared" si="6"/>
        <v>0</v>
      </c>
      <c r="H27" s="13">
        <f t="shared" si="4"/>
        <v>0</v>
      </c>
      <c r="I27" s="14">
        <f t="shared" si="5"/>
        <v>0</v>
      </c>
      <c r="J27" s="13">
        <f t="shared" si="3"/>
        <v>0</v>
      </c>
    </row>
    <row r="28" spans="6:10" x14ac:dyDescent="0.15">
      <c r="F28" s="13">
        <f t="shared" si="2"/>
        <v>0</v>
      </c>
      <c r="G28" s="13">
        <f t="shared" si="6"/>
        <v>0</v>
      </c>
      <c r="H28" s="13">
        <f t="shared" si="4"/>
        <v>0</v>
      </c>
      <c r="I28" s="14">
        <f t="shared" si="5"/>
        <v>0</v>
      </c>
      <c r="J28" s="13">
        <f t="shared" si="3"/>
        <v>0</v>
      </c>
    </row>
    <row r="29" spans="6:10" x14ac:dyDescent="0.15">
      <c r="F29" s="13">
        <f t="shared" si="2"/>
        <v>0</v>
      </c>
      <c r="G29" s="13">
        <f t="shared" si="6"/>
        <v>0</v>
      </c>
      <c r="H29" s="13">
        <f t="shared" si="4"/>
        <v>0</v>
      </c>
      <c r="I29" s="14">
        <f t="shared" si="5"/>
        <v>0</v>
      </c>
      <c r="J29" s="13">
        <f t="shared" si="3"/>
        <v>0</v>
      </c>
    </row>
    <row r="30" spans="6:10" x14ac:dyDescent="0.15">
      <c r="F30" s="13">
        <f t="shared" si="2"/>
        <v>0</v>
      </c>
      <c r="G30" s="13">
        <f t="shared" si="6"/>
        <v>0</v>
      </c>
      <c r="H30" s="13">
        <f t="shared" si="4"/>
        <v>0</v>
      </c>
      <c r="I30" s="14">
        <f t="shared" si="5"/>
        <v>0</v>
      </c>
      <c r="J30" s="13">
        <f t="shared" si="3"/>
        <v>0</v>
      </c>
    </row>
    <row r="31" spans="6:10" x14ac:dyDescent="0.15">
      <c r="F31" s="13">
        <f t="shared" si="2"/>
        <v>0</v>
      </c>
      <c r="G31" s="13">
        <f t="shared" si="6"/>
        <v>0</v>
      </c>
      <c r="H31" s="13">
        <f t="shared" si="4"/>
        <v>0</v>
      </c>
      <c r="I31" s="14">
        <f t="shared" si="5"/>
        <v>0</v>
      </c>
      <c r="J31" s="13">
        <f t="shared" si="3"/>
        <v>0</v>
      </c>
    </row>
    <row r="32" spans="6:10" x14ac:dyDescent="0.15">
      <c r="F32" s="13">
        <f t="shared" si="2"/>
        <v>0</v>
      </c>
      <c r="G32" s="13">
        <f t="shared" si="6"/>
        <v>0</v>
      </c>
      <c r="H32" s="13">
        <f t="shared" si="4"/>
        <v>0</v>
      </c>
      <c r="I32" s="14">
        <f t="shared" si="5"/>
        <v>0</v>
      </c>
      <c r="J32" s="13">
        <f t="shared" si="3"/>
        <v>0</v>
      </c>
    </row>
    <row r="33" spans="6:10" x14ac:dyDescent="0.15">
      <c r="F33" s="13">
        <f t="shared" si="2"/>
        <v>0</v>
      </c>
      <c r="G33" s="13">
        <f t="shared" si="6"/>
        <v>0</v>
      </c>
      <c r="H33" s="13">
        <f t="shared" si="4"/>
        <v>0</v>
      </c>
      <c r="I33" s="14">
        <f t="shared" si="5"/>
        <v>0</v>
      </c>
      <c r="J33" s="13">
        <f t="shared" si="3"/>
        <v>0</v>
      </c>
    </row>
    <row r="34" spans="6:10" x14ac:dyDescent="0.15">
      <c r="F34" s="13">
        <f t="shared" si="2"/>
        <v>0</v>
      </c>
      <c r="G34" s="13">
        <f t="shared" si="6"/>
        <v>0</v>
      </c>
      <c r="H34" s="13">
        <f t="shared" si="4"/>
        <v>0</v>
      </c>
      <c r="I34" s="14">
        <f t="shared" si="5"/>
        <v>0</v>
      </c>
      <c r="J34" s="13">
        <f t="shared" si="3"/>
        <v>0</v>
      </c>
    </row>
    <row r="35" spans="6:10" x14ac:dyDescent="0.15">
      <c r="F35" s="13">
        <f t="shared" si="2"/>
        <v>0</v>
      </c>
      <c r="G35" s="13">
        <f t="shared" si="6"/>
        <v>0</v>
      </c>
      <c r="H35" s="13">
        <f t="shared" si="4"/>
        <v>0</v>
      </c>
      <c r="I35" s="14">
        <f t="shared" si="5"/>
        <v>0</v>
      </c>
      <c r="J35" s="13">
        <f t="shared" si="3"/>
        <v>0</v>
      </c>
    </row>
    <row r="36" spans="6:10" x14ac:dyDescent="0.15">
      <c r="F36" s="13">
        <f t="shared" si="2"/>
        <v>0</v>
      </c>
      <c r="G36" s="13">
        <f t="shared" si="6"/>
        <v>0</v>
      </c>
      <c r="H36" s="13">
        <f t="shared" si="4"/>
        <v>0</v>
      </c>
      <c r="I36" s="14">
        <f t="shared" si="5"/>
        <v>0</v>
      </c>
      <c r="J36" s="13">
        <f t="shared" si="3"/>
        <v>0</v>
      </c>
    </row>
    <row r="37" spans="6:10" x14ac:dyDescent="0.15">
      <c r="F37" s="13">
        <f t="shared" si="2"/>
        <v>0</v>
      </c>
      <c r="G37" s="13">
        <f t="shared" si="6"/>
        <v>0</v>
      </c>
      <c r="H37" s="13">
        <f t="shared" si="4"/>
        <v>0</v>
      </c>
      <c r="I37" s="14">
        <f t="shared" si="5"/>
        <v>0</v>
      </c>
      <c r="J37" s="13">
        <f t="shared" si="3"/>
        <v>0</v>
      </c>
    </row>
    <row r="38" spans="6:10" x14ac:dyDescent="0.15">
      <c r="F38" s="13">
        <f t="shared" si="2"/>
        <v>0</v>
      </c>
      <c r="G38" s="13">
        <f t="shared" si="6"/>
        <v>0</v>
      </c>
      <c r="H38" s="13">
        <f t="shared" si="4"/>
        <v>0</v>
      </c>
      <c r="I38" s="14">
        <f t="shared" si="5"/>
        <v>0</v>
      </c>
      <c r="J38" s="13">
        <f t="shared" si="3"/>
        <v>0</v>
      </c>
    </row>
    <row r="39" spans="6:10" x14ac:dyDescent="0.15">
      <c r="F39" s="13">
        <f t="shared" si="2"/>
        <v>0</v>
      </c>
      <c r="G39" s="13">
        <f t="shared" si="6"/>
        <v>0</v>
      </c>
      <c r="H39" s="13">
        <f t="shared" si="4"/>
        <v>0</v>
      </c>
      <c r="I39" s="14">
        <f t="shared" si="5"/>
        <v>0</v>
      </c>
      <c r="J39" s="13">
        <f t="shared" si="3"/>
        <v>0</v>
      </c>
    </row>
    <row r="40" spans="6:10" x14ac:dyDescent="0.15">
      <c r="F40" s="13">
        <f t="shared" si="2"/>
        <v>0</v>
      </c>
      <c r="G40" s="13">
        <f t="shared" si="6"/>
        <v>0</v>
      </c>
      <c r="H40" s="13">
        <f t="shared" si="4"/>
        <v>0</v>
      </c>
      <c r="I40" s="14">
        <f t="shared" si="5"/>
        <v>0</v>
      </c>
      <c r="J40" s="13">
        <f t="shared" si="3"/>
        <v>0</v>
      </c>
    </row>
    <row r="41" spans="6:10" x14ac:dyDescent="0.15">
      <c r="F41" s="13">
        <f t="shared" si="2"/>
        <v>0</v>
      </c>
      <c r="G41" s="13">
        <f t="shared" si="6"/>
        <v>0</v>
      </c>
      <c r="H41" s="13">
        <f t="shared" si="4"/>
        <v>0</v>
      </c>
      <c r="I41" s="14">
        <f t="shared" si="5"/>
        <v>0</v>
      </c>
      <c r="J41" s="13">
        <f t="shared" si="3"/>
        <v>0</v>
      </c>
    </row>
    <row r="42" spans="6:10" x14ac:dyDescent="0.15">
      <c r="F42" s="13">
        <f t="shared" si="2"/>
        <v>0</v>
      </c>
      <c r="G42" s="13">
        <f t="shared" si="6"/>
        <v>0</v>
      </c>
      <c r="H42" s="13">
        <f t="shared" si="4"/>
        <v>0</v>
      </c>
      <c r="I42" s="14">
        <f t="shared" si="5"/>
        <v>0</v>
      </c>
      <c r="J42" s="13">
        <f t="shared" si="3"/>
        <v>0</v>
      </c>
    </row>
    <row r="43" spans="6:10" x14ac:dyDescent="0.15">
      <c r="F43" s="13">
        <f t="shared" si="2"/>
        <v>0</v>
      </c>
      <c r="G43" s="13">
        <f t="shared" si="6"/>
        <v>0</v>
      </c>
      <c r="H43" s="13">
        <f t="shared" si="4"/>
        <v>0</v>
      </c>
      <c r="I43" s="14">
        <f t="shared" si="5"/>
        <v>0</v>
      </c>
      <c r="J43" s="13">
        <f t="shared" si="3"/>
        <v>0</v>
      </c>
    </row>
    <row r="44" spans="6:10" x14ac:dyDescent="0.15">
      <c r="F44" s="13">
        <f t="shared" si="2"/>
        <v>0</v>
      </c>
      <c r="G44" s="13">
        <f t="shared" si="6"/>
        <v>0</v>
      </c>
      <c r="H44" s="13">
        <f t="shared" si="4"/>
        <v>0</v>
      </c>
      <c r="I44" s="14">
        <f t="shared" si="5"/>
        <v>0</v>
      </c>
      <c r="J44" s="13">
        <f t="shared" si="3"/>
        <v>0</v>
      </c>
    </row>
    <row r="45" spans="6:10" x14ac:dyDescent="0.15">
      <c r="F45" s="13">
        <f t="shared" si="2"/>
        <v>0</v>
      </c>
      <c r="G45" s="13">
        <f t="shared" si="6"/>
        <v>0</v>
      </c>
      <c r="H45" s="13">
        <f t="shared" si="4"/>
        <v>0</v>
      </c>
      <c r="I45" s="14">
        <f t="shared" si="5"/>
        <v>0</v>
      </c>
      <c r="J45" s="13">
        <f t="shared" si="3"/>
        <v>0</v>
      </c>
    </row>
    <row r="46" spans="6:10" x14ac:dyDescent="0.15">
      <c r="F46" s="13">
        <f t="shared" si="2"/>
        <v>0</v>
      </c>
      <c r="G46" s="13">
        <f t="shared" si="6"/>
        <v>0</v>
      </c>
      <c r="H46" s="13">
        <f t="shared" si="4"/>
        <v>0</v>
      </c>
      <c r="I46" s="14">
        <f t="shared" si="5"/>
        <v>0</v>
      </c>
      <c r="J46" s="13">
        <f t="shared" si="3"/>
        <v>0</v>
      </c>
    </row>
    <row r="47" spans="6:10" x14ac:dyDescent="0.15">
      <c r="F47" s="13">
        <f t="shared" si="2"/>
        <v>0</v>
      </c>
      <c r="G47" s="13">
        <f t="shared" si="6"/>
        <v>0</v>
      </c>
      <c r="H47" s="13">
        <f t="shared" si="4"/>
        <v>0</v>
      </c>
      <c r="I47" s="14">
        <f t="shared" si="5"/>
        <v>0</v>
      </c>
      <c r="J47" s="13">
        <f t="shared" si="3"/>
        <v>0</v>
      </c>
    </row>
    <row r="48" spans="6:10" x14ac:dyDescent="0.15">
      <c r="F48" s="13">
        <f t="shared" si="2"/>
        <v>0</v>
      </c>
      <c r="G48" s="13">
        <f t="shared" si="6"/>
        <v>0</v>
      </c>
      <c r="H48" s="13">
        <f t="shared" si="4"/>
        <v>0</v>
      </c>
      <c r="I48" s="14">
        <f t="shared" si="5"/>
        <v>0</v>
      </c>
      <c r="J48" s="13">
        <f t="shared" si="3"/>
        <v>0</v>
      </c>
    </row>
    <row r="49" spans="6:10" x14ac:dyDescent="0.15">
      <c r="F49" s="13">
        <f t="shared" si="2"/>
        <v>0</v>
      </c>
      <c r="G49" s="13">
        <f t="shared" si="6"/>
        <v>0</v>
      </c>
      <c r="H49" s="13">
        <f t="shared" si="4"/>
        <v>0</v>
      </c>
      <c r="I49" s="14">
        <f t="shared" si="5"/>
        <v>0</v>
      </c>
      <c r="J49" s="13">
        <f t="shared" si="3"/>
        <v>0</v>
      </c>
    </row>
    <row r="50" spans="6:10" x14ac:dyDescent="0.15">
      <c r="F50" s="13">
        <f t="shared" si="2"/>
        <v>0</v>
      </c>
      <c r="G50" s="13">
        <f t="shared" si="6"/>
        <v>0</v>
      </c>
      <c r="H50" s="13">
        <f t="shared" si="4"/>
        <v>0</v>
      </c>
      <c r="I50" s="14">
        <f t="shared" si="5"/>
        <v>0</v>
      </c>
      <c r="J50" s="13">
        <f t="shared" si="3"/>
        <v>0</v>
      </c>
    </row>
    <row r="51" spans="6:10" x14ac:dyDescent="0.15">
      <c r="F51" s="13">
        <f t="shared" si="2"/>
        <v>0</v>
      </c>
      <c r="G51" s="13">
        <f t="shared" si="6"/>
        <v>0</v>
      </c>
      <c r="H51" s="13">
        <f t="shared" si="4"/>
        <v>0</v>
      </c>
      <c r="I51" s="14">
        <f t="shared" si="5"/>
        <v>0</v>
      </c>
      <c r="J51" s="13">
        <f t="shared" si="3"/>
        <v>0</v>
      </c>
    </row>
    <row r="52" spans="6:10" x14ac:dyDescent="0.15">
      <c r="F52" s="13">
        <f t="shared" si="2"/>
        <v>0</v>
      </c>
      <c r="G52" s="13">
        <f t="shared" si="6"/>
        <v>0</v>
      </c>
      <c r="H52" s="13">
        <f t="shared" si="4"/>
        <v>0</v>
      </c>
      <c r="I52" s="14">
        <f t="shared" si="5"/>
        <v>0</v>
      </c>
      <c r="J52" s="13">
        <f t="shared" si="3"/>
        <v>0</v>
      </c>
    </row>
    <row r="53" spans="6:10" x14ac:dyDescent="0.15">
      <c r="F53" s="13">
        <f t="shared" si="2"/>
        <v>0</v>
      </c>
      <c r="G53" s="13">
        <f t="shared" si="6"/>
        <v>0</v>
      </c>
      <c r="H53" s="13">
        <f t="shared" si="4"/>
        <v>0</v>
      </c>
      <c r="I53" s="14">
        <f t="shared" si="5"/>
        <v>0</v>
      </c>
      <c r="J53" s="13">
        <f t="shared" si="3"/>
        <v>0</v>
      </c>
    </row>
    <row r="54" spans="6:10" x14ac:dyDescent="0.15">
      <c r="F54" s="13">
        <f t="shared" si="2"/>
        <v>0</v>
      </c>
      <c r="G54" s="13">
        <f t="shared" si="6"/>
        <v>0</v>
      </c>
      <c r="H54" s="13">
        <f t="shared" si="4"/>
        <v>0</v>
      </c>
      <c r="I54" s="14">
        <f t="shared" si="5"/>
        <v>0</v>
      </c>
      <c r="J54" s="13">
        <f t="shared" si="3"/>
        <v>0</v>
      </c>
    </row>
    <row r="55" spans="6:10" x14ac:dyDescent="0.15">
      <c r="F55" s="13">
        <f t="shared" si="2"/>
        <v>0</v>
      </c>
      <c r="G55" s="13">
        <f t="shared" si="6"/>
        <v>0</v>
      </c>
      <c r="H55" s="13">
        <f t="shared" si="4"/>
        <v>0</v>
      </c>
      <c r="I55" s="14">
        <f t="shared" si="5"/>
        <v>0</v>
      </c>
      <c r="J55" s="13">
        <f t="shared" si="3"/>
        <v>0</v>
      </c>
    </row>
    <row r="56" spans="6:10" x14ac:dyDescent="0.15">
      <c r="F56" s="13">
        <f t="shared" si="2"/>
        <v>0</v>
      </c>
      <c r="G56" s="13">
        <f t="shared" si="6"/>
        <v>0</v>
      </c>
      <c r="H56" s="13">
        <f t="shared" si="4"/>
        <v>0</v>
      </c>
      <c r="I56" s="14">
        <f t="shared" si="5"/>
        <v>0</v>
      </c>
      <c r="J56" s="13">
        <f t="shared" si="3"/>
        <v>0</v>
      </c>
    </row>
    <row r="57" spans="6:10" x14ac:dyDescent="0.15">
      <c r="F57" s="13">
        <f t="shared" si="2"/>
        <v>0</v>
      </c>
      <c r="G57" s="13">
        <f t="shared" si="6"/>
        <v>0</v>
      </c>
      <c r="H57" s="13">
        <f t="shared" si="4"/>
        <v>0</v>
      </c>
      <c r="I57" s="14">
        <f t="shared" si="5"/>
        <v>0</v>
      </c>
      <c r="J57" s="13">
        <f t="shared" si="3"/>
        <v>0</v>
      </c>
    </row>
    <row r="58" spans="6:10" x14ac:dyDescent="0.15">
      <c r="F58" s="13">
        <f t="shared" si="2"/>
        <v>0</v>
      </c>
      <c r="G58" s="13">
        <f t="shared" si="6"/>
        <v>0</v>
      </c>
      <c r="H58" s="13">
        <f t="shared" si="4"/>
        <v>0</v>
      </c>
      <c r="I58" s="14">
        <f t="shared" si="5"/>
        <v>0</v>
      </c>
      <c r="J58" s="13">
        <f t="shared" si="3"/>
        <v>0</v>
      </c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workbookViewId="0">
      <selection activeCell="B11" sqref="B11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9" width="5.796875" style="12" bestFit="1" customWidth="1"/>
    <col min="10" max="10" width="6.33593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46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2" t="s">
        <v>6</v>
      </c>
      <c r="B7" s="8" t="s">
        <v>8</v>
      </c>
      <c r="C7" s="9" t="s">
        <v>11</v>
      </c>
      <c r="D7" s="9" t="s">
        <v>12</v>
      </c>
      <c r="E7" s="9" t="s">
        <v>4</v>
      </c>
      <c r="F7" s="10" t="s">
        <v>0</v>
      </c>
      <c r="G7" s="9" t="s">
        <v>5</v>
      </c>
      <c r="H7" s="10" t="s">
        <v>2</v>
      </c>
      <c r="I7" s="10" t="s">
        <v>10</v>
      </c>
      <c r="J7" s="10" t="s">
        <v>3</v>
      </c>
    </row>
    <row r="8" spans="1:10" x14ac:dyDescent="0.15">
      <c r="A8" s="11">
        <v>1</v>
      </c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I12" s="14"/>
      <c r="J12" s="13"/>
    </row>
    <row r="13" spans="1:10" x14ac:dyDescent="0.15">
      <c r="I13" s="14"/>
      <c r="J13" s="13"/>
    </row>
    <row r="14" spans="1:10" x14ac:dyDescent="0.15">
      <c r="I14" s="14"/>
      <c r="J14" s="13"/>
    </row>
    <row r="15" spans="1:10" x14ac:dyDescent="0.15">
      <c r="I15" s="14"/>
      <c r="J15" s="13"/>
    </row>
    <row r="16" spans="1:10" x14ac:dyDescent="0.15">
      <c r="I16" s="14"/>
      <c r="J16" s="13"/>
    </row>
    <row r="17" spans="9:10" x14ac:dyDescent="0.15">
      <c r="I17" s="14"/>
      <c r="J17" s="13"/>
    </row>
    <row r="18" spans="9:10" x14ac:dyDescent="0.15">
      <c r="I18" s="14"/>
      <c r="J18" s="13"/>
    </row>
    <row r="19" spans="9:10" x14ac:dyDescent="0.15">
      <c r="I19" s="14"/>
      <c r="J19" s="13"/>
    </row>
    <row r="20" spans="9:10" x14ac:dyDescent="0.15">
      <c r="I20" s="14"/>
      <c r="J20" s="13"/>
    </row>
    <row r="21" spans="9:10" x14ac:dyDescent="0.15">
      <c r="I21" s="14"/>
      <c r="J21" s="13"/>
    </row>
    <row r="22" spans="9:10" x14ac:dyDescent="0.15">
      <c r="I22" s="14"/>
      <c r="J22" s="13"/>
    </row>
    <row r="23" spans="9:10" x14ac:dyDescent="0.15">
      <c r="I23" s="14"/>
      <c r="J23" s="13"/>
    </row>
    <row r="24" spans="9:10" x14ac:dyDescent="0.15">
      <c r="I24" s="14"/>
      <c r="J24" s="13"/>
    </row>
    <row r="25" spans="9:10" x14ac:dyDescent="0.15">
      <c r="I25" s="14"/>
      <c r="J25" s="13"/>
    </row>
    <row r="26" spans="9:10" x14ac:dyDescent="0.15">
      <c r="I26" s="14"/>
      <c r="J26" s="13"/>
    </row>
    <row r="27" spans="9:10" x14ac:dyDescent="0.15">
      <c r="I27" s="14"/>
      <c r="J27" s="13"/>
    </row>
    <row r="28" spans="9:10" x14ac:dyDescent="0.15">
      <c r="I28" s="14"/>
      <c r="J28" s="13"/>
    </row>
    <row r="29" spans="9:10" x14ac:dyDescent="0.15">
      <c r="I29" s="14"/>
      <c r="J29" s="13"/>
    </row>
    <row r="30" spans="9:10" x14ac:dyDescent="0.15">
      <c r="I30" s="14"/>
      <c r="J30" s="13"/>
    </row>
    <row r="31" spans="9:10" x14ac:dyDescent="0.15">
      <c r="I31" s="14"/>
      <c r="J31" s="13"/>
    </row>
    <row r="32" spans="9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workbookViewId="0">
      <selection activeCell="B3" sqref="B3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10" width="5.7968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47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2" t="s">
        <v>6</v>
      </c>
      <c r="B7" s="8" t="s">
        <v>8</v>
      </c>
      <c r="C7" s="9" t="s">
        <v>11</v>
      </c>
      <c r="D7" s="9" t="s">
        <v>12</v>
      </c>
      <c r="E7" s="9" t="s">
        <v>4</v>
      </c>
      <c r="F7" s="10" t="s">
        <v>0</v>
      </c>
      <c r="G7" s="9" t="s">
        <v>5</v>
      </c>
      <c r="H7" s="10" t="s">
        <v>2</v>
      </c>
      <c r="I7" s="10" t="s">
        <v>10</v>
      </c>
      <c r="J7" s="10" t="s">
        <v>3</v>
      </c>
    </row>
    <row r="8" spans="1:10" x14ac:dyDescent="0.15">
      <c r="A8" s="11">
        <v>1</v>
      </c>
      <c r="B8" s="49"/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B9" s="49"/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B10" s="49"/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B11" s="49"/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B12" s="49"/>
      <c r="I12" s="14"/>
      <c r="J12" s="13"/>
    </row>
    <row r="13" spans="1:10" x14ac:dyDescent="0.15">
      <c r="B13" s="49"/>
      <c r="I13" s="14"/>
      <c r="J13" s="13"/>
    </row>
    <row r="14" spans="1:10" x14ac:dyDescent="0.15">
      <c r="B14" s="49"/>
      <c r="I14" s="14"/>
      <c r="J14" s="13"/>
    </row>
    <row r="15" spans="1:10" x14ac:dyDescent="0.15">
      <c r="B15" s="49"/>
      <c r="I15" s="14"/>
      <c r="J15" s="13"/>
    </row>
    <row r="16" spans="1:10" x14ac:dyDescent="0.15">
      <c r="B16" s="49"/>
      <c r="I16" s="14"/>
      <c r="J16" s="13"/>
    </row>
    <row r="17" spans="2:10" x14ac:dyDescent="0.15">
      <c r="B17" s="49"/>
      <c r="C17" s="13" t="s">
        <v>45</v>
      </c>
      <c r="I17" s="14"/>
      <c r="J17" s="13"/>
    </row>
    <row r="18" spans="2:10" x14ac:dyDescent="0.15">
      <c r="B18" s="49"/>
      <c r="I18" s="14"/>
      <c r="J18" s="13"/>
    </row>
    <row r="19" spans="2:10" x14ac:dyDescent="0.15">
      <c r="B19" s="49"/>
      <c r="I19" s="14"/>
      <c r="J19" s="13"/>
    </row>
    <row r="20" spans="2:10" x14ac:dyDescent="0.15">
      <c r="I20" s="14"/>
      <c r="J20" s="13"/>
    </row>
    <row r="21" spans="2:10" x14ac:dyDescent="0.15">
      <c r="I21" s="14"/>
      <c r="J21" s="13"/>
    </row>
    <row r="22" spans="2:10" x14ac:dyDescent="0.15">
      <c r="I22" s="14"/>
      <c r="J22" s="13"/>
    </row>
    <row r="23" spans="2:10" x14ac:dyDescent="0.15">
      <c r="I23" s="14"/>
      <c r="J23" s="13"/>
    </row>
    <row r="24" spans="2:10" x14ac:dyDescent="0.15">
      <c r="I24" s="14"/>
      <c r="J24" s="13"/>
    </row>
    <row r="25" spans="2:10" x14ac:dyDescent="0.15">
      <c r="I25" s="14"/>
      <c r="J25" s="13"/>
    </row>
    <row r="26" spans="2:10" x14ac:dyDescent="0.15">
      <c r="I26" s="14"/>
      <c r="J26" s="13"/>
    </row>
    <row r="27" spans="2:10" x14ac:dyDescent="0.15">
      <c r="I27" s="14"/>
      <c r="J27" s="13"/>
    </row>
    <row r="28" spans="2:10" x14ac:dyDescent="0.15">
      <c r="I28" s="14"/>
      <c r="J28" s="13"/>
    </row>
    <row r="29" spans="2:10" x14ac:dyDescent="0.15">
      <c r="I29" s="14"/>
      <c r="J29" s="13"/>
    </row>
    <row r="30" spans="2:10" x14ac:dyDescent="0.15">
      <c r="I30" s="14"/>
      <c r="J30" s="13"/>
    </row>
    <row r="31" spans="2:10" x14ac:dyDescent="0.15">
      <c r="I31" s="14"/>
      <c r="J31" s="13"/>
    </row>
    <row r="32" spans="2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"/>
  <sheetViews>
    <sheetView workbookViewId="0">
      <selection activeCell="F6" sqref="F6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10" width="5.7968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48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5" t="s">
        <v>6</v>
      </c>
      <c r="B7" s="46" t="s">
        <v>8</v>
      </c>
      <c r="C7" s="24" t="s">
        <v>11</v>
      </c>
      <c r="D7" s="24" t="s">
        <v>12</v>
      </c>
      <c r="E7" s="24" t="s">
        <v>4</v>
      </c>
      <c r="F7" s="47" t="s">
        <v>0</v>
      </c>
      <c r="G7" s="24" t="s">
        <v>5</v>
      </c>
      <c r="H7" s="47" t="s">
        <v>2</v>
      </c>
      <c r="I7" s="47" t="s">
        <v>10</v>
      </c>
      <c r="J7" s="47" t="s">
        <v>3</v>
      </c>
    </row>
    <row r="8" spans="1:10" x14ac:dyDescent="0.15">
      <c r="A8" s="11">
        <v>1</v>
      </c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A12" s="11">
        <v>5</v>
      </c>
      <c r="C12" s="13">
        <v>0</v>
      </c>
      <c r="D12" s="13">
        <v>0</v>
      </c>
      <c r="E12" s="13">
        <v>0</v>
      </c>
      <c r="F12" s="13">
        <f>((C12+D12)*2)-E12</f>
        <v>0</v>
      </c>
      <c r="G12" s="13">
        <f>IF(F12&gt;0,$F$2,0)</f>
        <v>0</v>
      </c>
      <c r="H12" s="13">
        <f>IF(G12=0,0,(D12/G12)*C12)</f>
        <v>0</v>
      </c>
      <c r="I12" s="14">
        <f>H12/3</f>
        <v>0</v>
      </c>
      <c r="J12" s="13">
        <f>C12*D12</f>
        <v>0</v>
      </c>
    </row>
    <row r="13" spans="1:10" x14ac:dyDescent="0.15">
      <c r="I13" s="14"/>
      <c r="J13" s="13"/>
    </row>
    <row r="14" spans="1:10" x14ac:dyDescent="0.15">
      <c r="I14" s="14"/>
      <c r="J14" s="13"/>
    </row>
    <row r="15" spans="1:10" x14ac:dyDescent="0.15">
      <c r="I15" s="14"/>
      <c r="J15" s="13"/>
    </row>
    <row r="16" spans="1:10" x14ac:dyDescent="0.15">
      <c r="I16" s="14"/>
      <c r="J16" s="13"/>
    </row>
    <row r="17" spans="9:10" x14ac:dyDescent="0.15">
      <c r="I17" s="14"/>
      <c r="J17" s="13"/>
    </row>
    <row r="18" spans="9:10" x14ac:dyDescent="0.15">
      <c r="I18" s="14"/>
      <c r="J18" s="13"/>
    </row>
    <row r="19" spans="9:10" x14ac:dyDescent="0.15">
      <c r="I19" s="14"/>
      <c r="J19" s="13"/>
    </row>
    <row r="20" spans="9:10" x14ac:dyDescent="0.15">
      <c r="I20" s="14"/>
      <c r="J20" s="13"/>
    </row>
    <row r="21" spans="9:10" x14ac:dyDescent="0.15">
      <c r="I21" s="14"/>
      <c r="J21" s="13"/>
    </row>
    <row r="22" spans="9:10" x14ac:dyDescent="0.15">
      <c r="I22" s="14"/>
      <c r="J22" s="13"/>
    </row>
    <row r="23" spans="9:10" x14ac:dyDescent="0.15">
      <c r="I23" s="14"/>
      <c r="J23" s="13"/>
    </row>
    <row r="24" spans="9:10" x14ac:dyDescent="0.15">
      <c r="I24" s="14"/>
      <c r="J24" s="13"/>
    </row>
    <row r="25" spans="9:10" x14ac:dyDescent="0.15">
      <c r="I25" s="14"/>
      <c r="J25" s="13"/>
    </row>
    <row r="26" spans="9:10" x14ac:dyDescent="0.15">
      <c r="I26" s="14"/>
      <c r="J26" s="13"/>
    </row>
    <row r="27" spans="9:10" x14ac:dyDescent="0.15">
      <c r="I27" s="14"/>
      <c r="J27" s="13"/>
    </row>
    <row r="28" spans="9:10" x14ac:dyDescent="0.15">
      <c r="I28" s="14"/>
      <c r="J28" s="13"/>
    </row>
    <row r="29" spans="9:10" x14ac:dyDescent="0.15">
      <c r="I29" s="14"/>
      <c r="J29" s="13"/>
    </row>
    <row r="30" spans="9:10" x14ac:dyDescent="0.15">
      <c r="I30" s="14"/>
      <c r="J30" s="13"/>
    </row>
    <row r="31" spans="9:10" x14ac:dyDescent="0.15">
      <c r="I31" s="14"/>
      <c r="J31" s="13"/>
    </row>
    <row r="32" spans="9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workbookViewId="0">
      <selection activeCell="F6" sqref="F6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10" width="5.7968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49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5" t="s">
        <v>6</v>
      </c>
      <c r="B7" s="46" t="s">
        <v>8</v>
      </c>
      <c r="C7" s="24" t="s">
        <v>11</v>
      </c>
      <c r="D7" s="24" t="s">
        <v>12</v>
      </c>
      <c r="E7" s="24" t="s">
        <v>4</v>
      </c>
      <c r="F7" s="47" t="s">
        <v>0</v>
      </c>
      <c r="G7" s="24" t="s">
        <v>5</v>
      </c>
      <c r="H7" s="47" t="s">
        <v>2</v>
      </c>
      <c r="I7" s="47" t="s">
        <v>10</v>
      </c>
      <c r="J7" s="47" t="s">
        <v>3</v>
      </c>
    </row>
    <row r="8" spans="1:10" x14ac:dyDescent="0.15">
      <c r="A8" s="11">
        <v>1</v>
      </c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I12" s="14"/>
      <c r="J12" s="13"/>
    </row>
    <row r="13" spans="1:10" x14ac:dyDescent="0.15">
      <c r="I13" s="14"/>
      <c r="J13" s="13"/>
    </row>
    <row r="14" spans="1:10" x14ac:dyDescent="0.15">
      <c r="I14" s="14"/>
      <c r="J14" s="13"/>
    </row>
    <row r="15" spans="1:10" x14ac:dyDescent="0.15">
      <c r="I15" s="14"/>
      <c r="J15" s="13"/>
    </row>
    <row r="16" spans="1:10" x14ac:dyDescent="0.15">
      <c r="I16" s="14"/>
      <c r="J16" s="13"/>
    </row>
    <row r="17" spans="9:10" x14ac:dyDescent="0.15">
      <c r="I17" s="14"/>
      <c r="J17" s="13"/>
    </row>
    <row r="18" spans="9:10" x14ac:dyDescent="0.15">
      <c r="I18" s="14"/>
      <c r="J18" s="13"/>
    </row>
    <row r="19" spans="9:10" x14ac:dyDescent="0.15">
      <c r="I19" s="14"/>
      <c r="J19" s="13"/>
    </row>
    <row r="20" spans="9:10" x14ac:dyDescent="0.15">
      <c r="I20" s="14"/>
      <c r="J20" s="13"/>
    </row>
    <row r="21" spans="9:10" x14ac:dyDescent="0.15">
      <c r="I21" s="14"/>
      <c r="J21" s="13"/>
    </row>
    <row r="22" spans="9:10" x14ac:dyDescent="0.15">
      <c r="I22" s="14"/>
      <c r="J22" s="13"/>
    </row>
    <row r="23" spans="9:10" x14ac:dyDescent="0.15">
      <c r="I23" s="14"/>
      <c r="J23" s="13"/>
    </row>
    <row r="24" spans="9:10" x14ac:dyDescent="0.15">
      <c r="I24" s="14"/>
      <c r="J24" s="13"/>
    </row>
    <row r="25" spans="9:10" x14ac:dyDescent="0.15">
      <c r="I25" s="14"/>
      <c r="J25" s="13"/>
    </row>
    <row r="26" spans="9:10" x14ac:dyDescent="0.15">
      <c r="I26" s="14"/>
      <c r="J26" s="13"/>
    </row>
    <row r="27" spans="9:10" x14ac:dyDescent="0.15">
      <c r="I27" s="14"/>
      <c r="J27" s="13"/>
    </row>
    <row r="28" spans="9:10" x14ac:dyDescent="0.15">
      <c r="I28" s="14"/>
      <c r="J28" s="13"/>
    </row>
    <row r="29" spans="9:10" x14ac:dyDescent="0.15">
      <c r="I29" s="14"/>
      <c r="J29" s="13"/>
    </row>
    <row r="30" spans="9:10" x14ac:dyDescent="0.15">
      <c r="I30" s="14"/>
      <c r="J30" s="13"/>
    </row>
    <row r="31" spans="9:10" x14ac:dyDescent="0.15">
      <c r="I31" s="14"/>
      <c r="J31" s="13"/>
    </row>
    <row r="32" spans="9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0"/>
  <sheetViews>
    <sheetView workbookViewId="0">
      <selection activeCell="F21" sqref="F21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10" width="5.7968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50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5" t="s">
        <v>6</v>
      </c>
      <c r="B7" s="46" t="s">
        <v>8</v>
      </c>
      <c r="C7" s="24" t="s">
        <v>11</v>
      </c>
      <c r="D7" s="24" t="s">
        <v>12</v>
      </c>
      <c r="E7" s="24" t="s">
        <v>4</v>
      </c>
      <c r="F7" s="47" t="s">
        <v>0</v>
      </c>
      <c r="G7" s="24" t="s">
        <v>5</v>
      </c>
      <c r="H7" s="47" t="s">
        <v>2</v>
      </c>
      <c r="I7" s="47" t="s">
        <v>10</v>
      </c>
      <c r="J7" s="47" t="s">
        <v>3</v>
      </c>
    </row>
    <row r="8" spans="1:10" x14ac:dyDescent="0.15">
      <c r="A8" s="11">
        <v>1</v>
      </c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A12" s="11">
        <v>5</v>
      </c>
      <c r="C12" s="13">
        <v>0</v>
      </c>
      <c r="D12" s="13">
        <v>0</v>
      </c>
      <c r="E12" s="13">
        <v>0</v>
      </c>
      <c r="F12" s="13">
        <f>((C12+D12)*2)-E12</f>
        <v>0</v>
      </c>
      <c r="G12" s="13">
        <f>IF(F12&gt;0,$F$2,0)</f>
        <v>0</v>
      </c>
      <c r="H12" s="13">
        <f>IF(G12=0,0,(D12/G12)*C12)</f>
        <v>0</v>
      </c>
      <c r="I12" s="14">
        <f>H12/3</f>
        <v>0</v>
      </c>
      <c r="J12" s="13">
        <f>C12*D12</f>
        <v>0</v>
      </c>
    </row>
    <row r="13" spans="1:10" x14ac:dyDescent="0.15">
      <c r="I13" s="14"/>
      <c r="J13" s="13"/>
    </row>
    <row r="14" spans="1:10" x14ac:dyDescent="0.15">
      <c r="I14" s="14"/>
      <c r="J14" s="13"/>
    </row>
    <row r="15" spans="1:10" x14ac:dyDescent="0.15">
      <c r="I15" s="14"/>
      <c r="J15" s="13"/>
    </row>
    <row r="16" spans="1:10" x14ac:dyDescent="0.15">
      <c r="I16" s="14"/>
      <c r="J16" s="13"/>
    </row>
    <row r="17" spans="9:10" x14ac:dyDescent="0.15">
      <c r="I17" s="14"/>
      <c r="J17" s="13"/>
    </row>
    <row r="18" spans="9:10" x14ac:dyDescent="0.15">
      <c r="I18" s="14"/>
      <c r="J18" s="13"/>
    </row>
    <row r="19" spans="9:10" x14ac:dyDescent="0.15">
      <c r="I19" s="14"/>
      <c r="J19" s="13"/>
    </row>
    <row r="20" spans="9:10" x14ac:dyDescent="0.15">
      <c r="I20" s="14"/>
      <c r="J20" s="13"/>
    </row>
    <row r="21" spans="9:10" x14ac:dyDescent="0.15">
      <c r="I21" s="14"/>
      <c r="J21" s="13"/>
    </row>
    <row r="22" spans="9:10" x14ac:dyDescent="0.15">
      <c r="I22" s="14"/>
      <c r="J22" s="13"/>
    </row>
    <row r="23" spans="9:10" x14ac:dyDescent="0.15">
      <c r="I23" s="14"/>
      <c r="J23" s="13"/>
    </row>
    <row r="24" spans="9:10" x14ac:dyDescent="0.15">
      <c r="I24" s="14"/>
      <c r="J24" s="13"/>
    </row>
    <row r="25" spans="9:10" x14ac:dyDescent="0.15">
      <c r="I25" s="14"/>
      <c r="J25" s="13"/>
    </row>
    <row r="26" spans="9:10" x14ac:dyDescent="0.15">
      <c r="I26" s="14"/>
      <c r="J26" s="13"/>
    </row>
    <row r="27" spans="9:10" x14ac:dyDescent="0.15">
      <c r="I27" s="14"/>
      <c r="J27" s="13"/>
    </row>
    <row r="28" spans="9:10" x14ac:dyDescent="0.15">
      <c r="I28" s="14"/>
      <c r="J28" s="13"/>
    </row>
    <row r="29" spans="9:10" x14ac:dyDescent="0.15">
      <c r="I29" s="14"/>
      <c r="J29" s="13"/>
    </row>
    <row r="30" spans="9:10" x14ac:dyDescent="0.15">
      <c r="I30" s="14"/>
      <c r="J30" s="13"/>
    </row>
    <row r="31" spans="9:10" x14ac:dyDescent="0.15">
      <c r="I31" s="14"/>
      <c r="J31" s="13"/>
    </row>
    <row r="32" spans="9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0"/>
  <sheetViews>
    <sheetView workbookViewId="0">
      <selection activeCell="E19" sqref="E19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bestFit="1" customWidth="1"/>
    <col min="7" max="7" width="5.12109375" style="13" bestFit="1" customWidth="1"/>
    <col min="8" max="8" width="6.60546875" style="13" bestFit="1" customWidth="1"/>
    <col min="9" max="9" width="5.796875" style="12" bestFit="1" customWidth="1"/>
    <col min="10" max="10" width="6.3359375" style="12" bestFit="1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51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5" t="s">
        <v>6</v>
      </c>
      <c r="B7" s="46" t="s">
        <v>8</v>
      </c>
      <c r="C7" s="24" t="s">
        <v>11</v>
      </c>
      <c r="D7" s="24" t="s">
        <v>12</v>
      </c>
      <c r="E7" s="24" t="s">
        <v>4</v>
      </c>
      <c r="F7" s="47" t="s">
        <v>0</v>
      </c>
      <c r="G7" s="24" t="s">
        <v>5</v>
      </c>
      <c r="H7" s="47" t="s">
        <v>2</v>
      </c>
      <c r="I7" s="47" t="s">
        <v>10</v>
      </c>
      <c r="J7" s="47" t="s">
        <v>3</v>
      </c>
    </row>
    <row r="8" spans="1:10" x14ac:dyDescent="0.15">
      <c r="A8" s="11">
        <v>1</v>
      </c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A12" s="11">
        <v>5</v>
      </c>
      <c r="C12" s="13">
        <v>0</v>
      </c>
      <c r="D12" s="13">
        <v>0</v>
      </c>
      <c r="E12" s="13">
        <v>0</v>
      </c>
      <c r="F12" s="13">
        <f>((C12+D12)*2)-E12</f>
        <v>0</v>
      </c>
      <c r="G12" s="13">
        <f>IF(F12&gt;0,$F$2,0)</f>
        <v>0</v>
      </c>
      <c r="H12" s="13">
        <f>IF(G12=0,0,(D12/G12)*C12)</f>
        <v>0</v>
      </c>
      <c r="I12" s="14">
        <f>H12/3</f>
        <v>0</v>
      </c>
      <c r="J12" s="13">
        <f>C12*D12</f>
        <v>0</v>
      </c>
    </row>
    <row r="13" spans="1:10" x14ac:dyDescent="0.15">
      <c r="A13" s="11">
        <v>6</v>
      </c>
      <c r="C13" s="13">
        <v>0</v>
      </c>
      <c r="D13" s="13">
        <v>0</v>
      </c>
      <c r="E13" s="13">
        <v>0</v>
      </c>
      <c r="F13" s="13">
        <f t="shared" ref="F13:F24" si="0">((C13+D13)*2)-E13</f>
        <v>0</v>
      </c>
      <c r="G13" s="13">
        <f t="shared" ref="G13:G24" si="1">IF(F13&gt;0,$F$2,0)</f>
        <v>0</v>
      </c>
      <c r="H13" s="13">
        <f t="shared" ref="H13:H24" si="2">IF(G13=0,0,(D13/G13)*C13)</f>
        <v>0</v>
      </c>
      <c r="I13" s="14">
        <f t="shared" ref="I13:I24" si="3">H13/3</f>
        <v>0</v>
      </c>
      <c r="J13" s="13">
        <f t="shared" ref="J13:J24" si="4">C13*D13</f>
        <v>0</v>
      </c>
    </row>
    <row r="14" spans="1:10" x14ac:dyDescent="0.15">
      <c r="A14" s="11">
        <v>7</v>
      </c>
      <c r="C14" s="13">
        <v>0</v>
      </c>
      <c r="D14" s="13">
        <v>0</v>
      </c>
      <c r="E14" s="13">
        <v>0</v>
      </c>
      <c r="F14" s="13">
        <f t="shared" si="0"/>
        <v>0</v>
      </c>
      <c r="G14" s="13">
        <f t="shared" si="1"/>
        <v>0</v>
      </c>
      <c r="H14" s="13">
        <f t="shared" si="2"/>
        <v>0</v>
      </c>
      <c r="I14" s="14">
        <f t="shared" si="3"/>
        <v>0</v>
      </c>
      <c r="J14" s="13">
        <f t="shared" si="4"/>
        <v>0</v>
      </c>
    </row>
    <row r="15" spans="1:10" x14ac:dyDescent="0.15">
      <c r="A15" s="11">
        <v>8</v>
      </c>
      <c r="C15" s="13">
        <v>0</v>
      </c>
      <c r="D15" s="13">
        <v>0</v>
      </c>
      <c r="E15" s="13">
        <v>0</v>
      </c>
      <c r="F15" s="13">
        <f t="shared" si="0"/>
        <v>0</v>
      </c>
      <c r="G15" s="13">
        <f t="shared" si="1"/>
        <v>0</v>
      </c>
      <c r="H15" s="13">
        <f t="shared" si="2"/>
        <v>0</v>
      </c>
      <c r="I15" s="14">
        <f t="shared" si="3"/>
        <v>0</v>
      </c>
      <c r="J15" s="13">
        <f t="shared" si="4"/>
        <v>0</v>
      </c>
    </row>
    <row r="16" spans="1:10" x14ac:dyDescent="0.15">
      <c r="A16" s="11">
        <v>9</v>
      </c>
      <c r="C16" s="13">
        <v>0</v>
      </c>
      <c r="D16" s="13">
        <v>0</v>
      </c>
      <c r="E16" s="13">
        <v>0</v>
      </c>
      <c r="F16" s="13">
        <f t="shared" si="0"/>
        <v>0</v>
      </c>
      <c r="G16" s="13">
        <f t="shared" si="1"/>
        <v>0</v>
      </c>
      <c r="H16" s="13">
        <f t="shared" si="2"/>
        <v>0</v>
      </c>
      <c r="I16" s="14">
        <f t="shared" si="3"/>
        <v>0</v>
      </c>
      <c r="J16" s="13">
        <f t="shared" si="4"/>
        <v>0</v>
      </c>
    </row>
    <row r="17" spans="1:10" x14ac:dyDescent="0.15">
      <c r="A17" s="11">
        <v>10</v>
      </c>
      <c r="C17" s="13">
        <v>0</v>
      </c>
      <c r="D17" s="13">
        <v>0</v>
      </c>
      <c r="E17" s="13">
        <v>0</v>
      </c>
      <c r="F17" s="13">
        <f t="shared" si="0"/>
        <v>0</v>
      </c>
      <c r="G17" s="13">
        <f t="shared" si="1"/>
        <v>0</v>
      </c>
      <c r="H17" s="13">
        <f t="shared" si="2"/>
        <v>0</v>
      </c>
      <c r="I17" s="14">
        <f t="shared" si="3"/>
        <v>0</v>
      </c>
      <c r="J17" s="13">
        <f t="shared" si="4"/>
        <v>0</v>
      </c>
    </row>
    <row r="18" spans="1:10" x14ac:dyDescent="0.15">
      <c r="A18" s="11">
        <v>11</v>
      </c>
      <c r="C18" s="13">
        <v>0</v>
      </c>
      <c r="D18" s="13">
        <v>0</v>
      </c>
      <c r="E18" s="13">
        <v>0</v>
      </c>
      <c r="F18" s="13">
        <f t="shared" si="0"/>
        <v>0</v>
      </c>
      <c r="G18" s="13">
        <f t="shared" si="1"/>
        <v>0</v>
      </c>
      <c r="H18" s="13">
        <f t="shared" si="2"/>
        <v>0</v>
      </c>
      <c r="I18" s="14">
        <f t="shared" si="3"/>
        <v>0</v>
      </c>
      <c r="J18" s="13">
        <f t="shared" si="4"/>
        <v>0</v>
      </c>
    </row>
    <row r="19" spans="1:10" x14ac:dyDescent="0.15">
      <c r="A19" s="11">
        <v>12</v>
      </c>
      <c r="C19" s="13">
        <v>0</v>
      </c>
      <c r="D19" s="13">
        <v>0</v>
      </c>
      <c r="E19" s="13">
        <v>0</v>
      </c>
      <c r="F19" s="13">
        <f t="shared" si="0"/>
        <v>0</v>
      </c>
      <c r="G19" s="13">
        <f t="shared" si="1"/>
        <v>0</v>
      </c>
      <c r="H19" s="13">
        <f t="shared" si="2"/>
        <v>0</v>
      </c>
      <c r="I19" s="14">
        <f t="shared" si="3"/>
        <v>0</v>
      </c>
      <c r="J19" s="13">
        <f t="shared" si="4"/>
        <v>0</v>
      </c>
    </row>
    <row r="20" spans="1:10" x14ac:dyDescent="0.15">
      <c r="A20" s="11">
        <v>13</v>
      </c>
      <c r="C20" s="13">
        <v>0</v>
      </c>
      <c r="D20" s="13">
        <v>0</v>
      </c>
      <c r="E20" s="13">
        <v>0</v>
      </c>
      <c r="F20" s="13">
        <f t="shared" si="0"/>
        <v>0</v>
      </c>
      <c r="G20" s="13">
        <f t="shared" si="1"/>
        <v>0</v>
      </c>
      <c r="H20" s="13">
        <f t="shared" si="2"/>
        <v>0</v>
      </c>
      <c r="I20" s="14">
        <f t="shared" si="3"/>
        <v>0</v>
      </c>
      <c r="J20" s="13">
        <f t="shared" si="4"/>
        <v>0</v>
      </c>
    </row>
    <row r="21" spans="1:10" x14ac:dyDescent="0.15">
      <c r="A21" s="11">
        <v>14</v>
      </c>
      <c r="C21" s="13">
        <v>0</v>
      </c>
      <c r="D21" s="13">
        <v>0</v>
      </c>
      <c r="E21" s="13">
        <v>0</v>
      </c>
      <c r="F21" s="13">
        <f t="shared" si="0"/>
        <v>0</v>
      </c>
      <c r="G21" s="13">
        <f t="shared" si="1"/>
        <v>0</v>
      </c>
      <c r="H21" s="13">
        <f t="shared" si="2"/>
        <v>0</v>
      </c>
      <c r="I21" s="14">
        <f t="shared" si="3"/>
        <v>0</v>
      </c>
      <c r="J21" s="13">
        <f t="shared" si="4"/>
        <v>0</v>
      </c>
    </row>
    <row r="22" spans="1:10" x14ac:dyDescent="0.15">
      <c r="A22" s="11">
        <v>15</v>
      </c>
      <c r="C22" s="13">
        <v>0</v>
      </c>
      <c r="D22" s="13">
        <v>0</v>
      </c>
      <c r="E22" s="13">
        <v>0</v>
      </c>
      <c r="F22" s="13">
        <f t="shared" si="0"/>
        <v>0</v>
      </c>
      <c r="G22" s="13">
        <f t="shared" si="1"/>
        <v>0</v>
      </c>
      <c r="H22" s="13">
        <f t="shared" si="2"/>
        <v>0</v>
      </c>
      <c r="I22" s="14">
        <f t="shared" si="3"/>
        <v>0</v>
      </c>
      <c r="J22" s="13">
        <f t="shared" si="4"/>
        <v>0</v>
      </c>
    </row>
    <row r="23" spans="1:10" x14ac:dyDescent="0.15">
      <c r="A23" s="11">
        <v>16</v>
      </c>
      <c r="C23" s="13">
        <v>0</v>
      </c>
      <c r="D23" s="13">
        <v>0</v>
      </c>
      <c r="E23" s="13">
        <v>0</v>
      </c>
      <c r="F23" s="13">
        <f t="shared" si="0"/>
        <v>0</v>
      </c>
      <c r="G23" s="13">
        <f t="shared" si="1"/>
        <v>0</v>
      </c>
      <c r="H23" s="13">
        <f t="shared" si="2"/>
        <v>0</v>
      </c>
      <c r="I23" s="14">
        <f t="shared" si="3"/>
        <v>0</v>
      </c>
      <c r="J23" s="13">
        <f t="shared" si="4"/>
        <v>0</v>
      </c>
    </row>
    <row r="24" spans="1:10" x14ac:dyDescent="0.15">
      <c r="A24" s="11">
        <v>17</v>
      </c>
      <c r="C24" s="13">
        <v>0</v>
      </c>
      <c r="D24" s="13">
        <v>0</v>
      </c>
      <c r="E24" s="13">
        <v>0</v>
      </c>
      <c r="F24" s="13">
        <f t="shared" si="0"/>
        <v>0</v>
      </c>
      <c r="G24" s="13">
        <f t="shared" si="1"/>
        <v>0</v>
      </c>
      <c r="H24" s="13">
        <f t="shared" si="2"/>
        <v>0</v>
      </c>
      <c r="I24" s="14">
        <f t="shared" si="3"/>
        <v>0</v>
      </c>
      <c r="J24" s="13">
        <f t="shared" si="4"/>
        <v>0</v>
      </c>
    </row>
    <row r="25" spans="1:10" x14ac:dyDescent="0.15">
      <c r="I25" s="14"/>
      <c r="J25" s="13"/>
    </row>
    <row r="26" spans="1:10" x14ac:dyDescent="0.15">
      <c r="I26" s="14"/>
      <c r="J26" s="13"/>
    </row>
    <row r="27" spans="1:10" x14ac:dyDescent="0.15">
      <c r="I27" s="14"/>
      <c r="J27" s="13"/>
    </row>
    <row r="28" spans="1:10" x14ac:dyDescent="0.15">
      <c r="I28" s="14"/>
      <c r="J28" s="13"/>
    </row>
    <row r="29" spans="1:10" x14ac:dyDescent="0.15">
      <c r="I29" s="14"/>
      <c r="J29" s="13"/>
    </row>
    <row r="30" spans="1:10" x14ac:dyDescent="0.15">
      <c r="I30" s="14"/>
      <c r="J30" s="13"/>
    </row>
    <row r="31" spans="1:10" x14ac:dyDescent="0.15">
      <c r="I31" s="14"/>
      <c r="J31" s="13"/>
    </row>
    <row r="32" spans="1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300" verticalDpi="300" copies="0" r:id="rId1"/>
  <headerFooter alignWithMargins="0">
    <oddHeader>&amp;C&amp;8&amp;F - &amp;D&amp;R&amp;8&amp;P/&amp;N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"/>
  <sheetViews>
    <sheetView workbookViewId="0">
      <selection activeCell="K12" sqref="K12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customWidth="1"/>
    <col min="7" max="7" width="5.12109375" style="13" customWidth="1"/>
    <col min="8" max="8" width="6.60546875" style="13" customWidth="1"/>
    <col min="9" max="9" width="5.796875" style="12" customWidth="1"/>
    <col min="10" max="10" width="6.3359375" style="12" customWidth="1"/>
    <col min="11" max="12" width="9.16796875" style="1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tr">
        <f>'Tab Geral'!B1</f>
        <v>Antares Engenharia Ltda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tr">
        <f>'Tab Geral'!B2</f>
        <v>Comfort Tag Flat</v>
      </c>
      <c r="C3" s="36"/>
      <c r="D3" s="31"/>
      <c r="E3" s="2" t="s">
        <v>21</v>
      </c>
      <c r="F3" s="30">
        <v>0.05</v>
      </c>
      <c r="G3" s="27"/>
      <c r="H3" s="22" t="s">
        <v>3</v>
      </c>
      <c r="I3" s="28">
        <f>SUM(J8:J47)*(1+1*$F$3)*F5</f>
        <v>0</v>
      </c>
      <c r="J3" s="28">
        <f>I3*$F$4</f>
        <v>0</v>
      </c>
    </row>
    <row r="4" spans="1:10" x14ac:dyDescent="0.15">
      <c r="A4" s="33" t="s">
        <v>15</v>
      </c>
      <c r="B4" s="41" t="s">
        <v>51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0</v>
      </c>
      <c r="J4" s="28">
        <f>I4*$F$4</f>
        <v>0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0</v>
      </c>
      <c r="J5" s="28">
        <f>I5*$F$4</f>
        <v>0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5" t="s">
        <v>6</v>
      </c>
      <c r="B7" s="46" t="s">
        <v>8</v>
      </c>
      <c r="C7" s="24" t="s">
        <v>11</v>
      </c>
      <c r="D7" s="24" t="s">
        <v>12</v>
      </c>
      <c r="E7" s="24" t="s">
        <v>4</v>
      </c>
      <c r="F7" s="47" t="s">
        <v>0</v>
      </c>
      <c r="G7" s="24" t="s">
        <v>5</v>
      </c>
      <c r="H7" s="47" t="s">
        <v>2</v>
      </c>
      <c r="I7" s="47" t="s">
        <v>10</v>
      </c>
      <c r="J7" s="47" t="s">
        <v>3</v>
      </c>
    </row>
    <row r="8" spans="1:10" x14ac:dyDescent="0.15">
      <c r="A8" s="11">
        <v>1</v>
      </c>
      <c r="C8" s="13">
        <v>0</v>
      </c>
      <c r="D8" s="13">
        <v>0</v>
      </c>
      <c r="E8" s="13">
        <v>0</v>
      </c>
      <c r="F8" s="13">
        <f>((C8+D8)*2)-E8</f>
        <v>0</v>
      </c>
      <c r="G8" s="13">
        <f>IF(F8&gt;0,$F$2,0)</f>
        <v>0</v>
      </c>
      <c r="H8" s="13">
        <f>IF(G8=0,0,(D8/G8)*C8)</f>
        <v>0</v>
      </c>
      <c r="I8" s="14">
        <f>H8/3</f>
        <v>0</v>
      </c>
      <c r="J8" s="13">
        <f>C8*D8</f>
        <v>0</v>
      </c>
    </row>
    <row r="9" spans="1:10" x14ac:dyDescent="0.15">
      <c r="A9" s="11">
        <v>2</v>
      </c>
      <c r="C9" s="13">
        <v>0</v>
      </c>
      <c r="D9" s="13">
        <v>0</v>
      </c>
      <c r="E9" s="13">
        <v>0</v>
      </c>
      <c r="F9" s="13">
        <f>((C9+D9)*2)-E9</f>
        <v>0</v>
      </c>
      <c r="G9" s="13">
        <f>IF(F9&gt;0,$F$2,0)</f>
        <v>0</v>
      </c>
      <c r="H9" s="13">
        <f>IF(G9=0,0,(D9/G9)*C9)</f>
        <v>0</v>
      </c>
      <c r="I9" s="14">
        <f>H9/3</f>
        <v>0</v>
      </c>
      <c r="J9" s="13">
        <f>C9*D9</f>
        <v>0</v>
      </c>
    </row>
    <row r="10" spans="1:10" x14ac:dyDescent="0.15">
      <c r="A10" s="11">
        <v>3</v>
      </c>
      <c r="C10" s="13">
        <v>0</v>
      </c>
      <c r="D10" s="13">
        <v>0</v>
      </c>
      <c r="E10" s="13">
        <v>0</v>
      </c>
      <c r="F10" s="13">
        <f>((C10+D10)*2)-E10</f>
        <v>0</v>
      </c>
      <c r="G10" s="13">
        <f>IF(F10&gt;0,$F$2,0)</f>
        <v>0</v>
      </c>
      <c r="H10" s="13">
        <f>IF(G10=0,0,(D10/G10)*C10)</f>
        <v>0</v>
      </c>
      <c r="I10" s="14">
        <f>H10/3</f>
        <v>0</v>
      </c>
      <c r="J10" s="13">
        <f>C10*D10</f>
        <v>0</v>
      </c>
    </row>
    <row r="11" spans="1:10" x14ac:dyDescent="0.15">
      <c r="A11" s="11">
        <v>4</v>
      </c>
      <c r="C11" s="13">
        <v>0</v>
      </c>
      <c r="D11" s="13">
        <v>0</v>
      </c>
      <c r="E11" s="13">
        <v>0</v>
      </c>
      <c r="F11" s="13">
        <f>((C11+D11)*2)-E11</f>
        <v>0</v>
      </c>
      <c r="G11" s="13">
        <f>IF(F11&gt;0,$F$2,0)</f>
        <v>0</v>
      </c>
      <c r="H11" s="13">
        <f>IF(G11=0,0,(D11/G11)*C11)</f>
        <v>0</v>
      </c>
      <c r="I11" s="14">
        <f>H11/3</f>
        <v>0</v>
      </c>
      <c r="J11" s="13">
        <f>C11*D11</f>
        <v>0</v>
      </c>
    </row>
    <row r="12" spans="1:10" ht="12" customHeight="1" x14ac:dyDescent="0.15">
      <c r="A12" s="11">
        <v>5</v>
      </c>
      <c r="C12" s="13">
        <v>0</v>
      </c>
      <c r="D12" s="13">
        <v>0</v>
      </c>
      <c r="E12" s="13">
        <v>0</v>
      </c>
      <c r="F12" s="13">
        <f>((C12+D12)*2)-E12</f>
        <v>0</v>
      </c>
      <c r="G12" s="13">
        <f>IF(F12&gt;0,$F$2,0)</f>
        <v>0</v>
      </c>
      <c r="H12" s="13">
        <f>IF(G12=0,0,(D12/G12)*C12)</f>
        <v>0</v>
      </c>
      <c r="I12" s="14">
        <f>H12/3</f>
        <v>0</v>
      </c>
      <c r="J12" s="13">
        <f>C12*D12</f>
        <v>0</v>
      </c>
    </row>
    <row r="13" spans="1:10" x14ac:dyDescent="0.15">
      <c r="A13" s="11">
        <v>6</v>
      </c>
      <c r="C13" s="13">
        <v>0</v>
      </c>
      <c r="D13" s="13">
        <v>0</v>
      </c>
      <c r="E13" s="13">
        <v>0</v>
      </c>
      <c r="F13" s="13">
        <f t="shared" ref="F13:F24" si="0">((C13+D13)*2)-E13</f>
        <v>0</v>
      </c>
      <c r="G13" s="13">
        <f t="shared" ref="G13:G24" si="1">IF(F13&gt;0,$F$2,0)</f>
        <v>0</v>
      </c>
      <c r="H13" s="13">
        <f t="shared" ref="H13:H24" si="2">IF(G13=0,0,(D13/G13)*C13)</f>
        <v>0</v>
      </c>
      <c r="I13" s="14">
        <f t="shared" ref="I13:I24" si="3">H13/3</f>
        <v>0</v>
      </c>
      <c r="J13" s="13">
        <f t="shared" ref="J13:J24" si="4">C13*D13</f>
        <v>0</v>
      </c>
    </row>
    <row r="14" spans="1:10" x14ac:dyDescent="0.15">
      <c r="A14" s="11">
        <v>7</v>
      </c>
      <c r="C14" s="13">
        <v>0</v>
      </c>
      <c r="D14" s="13">
        <v>0</v>
      </c>
      <c r="E14" s="13">
        <v>0</v>
      </c>
      <c r="F14" s="13">
        <f t="shared" si="0"/>
        <v>0</v>
      </c>
      <c r="G14" s="13">
        <f t="shared" si="1"/>
        <v>0</v>
      </c>
      <c r="H14" s="13">
        <f t="shared" si="2"/>
        <v>0</v>
      </c>
      <c r="I14" s="14">
        <f t="shared" si="3"/>
        <v>0</v>
      </c>
      <c r="J14" s="13">
        <f t="shared" si="4"/>
        <v>0</v>
      </c>
    </row>
    <row r="15" spans="1:10" x14ac:dyDescent="0.15">
      <c r="A15" s="11">
        <v>8</v>
      </c>
      <c r="C15" s="13">
        <v>0</v>
      </c>
      <c r="D15" s="13">
        <v>0</v>
      </c>
      <c r="E15" s="13">
        <v>0</v>
      </c>
      <c r="F15" s="13">
        <f t="shared" si="0"/>
        <v>0</v>
      </c>
      <c r="G15" s="13">
        <f t="shared" si="1"/>
        <v>0</v>
      </c>
      <c r="H15" s="13">
        <f t="shared" si="2"/>
        <v>0</v>
      </c>
      <c r="I15" s="14">
        <f t="shared" si="3"/>
        <v>0</v>
      </c>
      <c r="J15" s="13">
        <f t="shared" si="4"/>
        <v>0</v>
      </c>
    </row>
    <row r="16" spans="1:10" x14ac:dyDescent="0.15">
      <c r="A16" s="11">
        <v>9</v>
      </c>
      <c r="C16" s="13">
        <v>0</v>
      </c>
      <c r="D16" s="13">
        <v>0</v>
      </c>
      <c r="E16" s="13">
        <v>0</v>
      </c>
      <c r="F16" s="13">
        <f t="shared" si="0"/>
        <v>0</v>
      </c>
      <c r="G16" s="13">
        <f t="shared" si="1"/>
        <v>0</v>
      </c>
      <c r="H16" s="13">
        <f t="shared" si="2"/>
        <v>0</v>
      </c>
      <c r="I16" s="14">
        <f t="shared" si="3"/>
        <v>0</v>
      </c>
      <c r="J16" s="13">
        <f t="shared" si="4"/>
        <v>0</v>
      </c>
    </row>
    <row r="17" spans="1:10" x14ac:dyDescent="0.15">
      <c r="A17" s="11">
        <v>10</v>
      </c>
      <c r="C17" s="13">
        <v>0</v>
      </c>
      <c r="D17" s="13">
        <v>0</v>
      </c>
      <c r="E17" s="13">
        <v>0</v>
      </c>
      <c r="F17" s="13">
        <f t="shared" si="0"/>
        <v>0</v>
      </c>
      <c r="G17" s="13">
        <f t="shared" si="1"/>
        <v>0</v>
      </c>
      <c r="H17" s="13">
        <f t="shared" si="2"/>
        <v>0</v>
      </c>
      <c r="I17" s="14">
        <f t="shared" si="3"/>
        <v>0</v>
      </c>
      <c r="J17" s="13">
        <f t="shared" si="4"/>
        <v>0</v>
      </c>
    </row>
    <row r="18" spans="1:10" x14ac:dyDescent="0.15">
      <c r="A18" s="11">
        <v>11</v>
      </c>
      <c r="C18" s="13">
        <v>0</v>
      </c>
      <c r="D18" s="13">
        <v>0</v>
      </c>
      <c r="E18" s="13">
        <v>0</v>
      </c>
      <c r="F18" s="13">
        <f t="shared" si="0"/>
        <v>0</v>
      </c>
      <c r="G18" s="13">
        <f t="shared" si="1"/>
        <v>0</v>
      </c>
      <c r="H18" s="13">
        <f t="shared" si="2"/>
        <v>0</v>
      </c>
      <c r="I18" s="14">
        <f t="shared" si="3"/>
        <v>0</v>
      </c>
      <c r="J18" s="13">
        <f t="shared" si="4"/>
        <v>0</v>
      </c>
    </row>
    <row r="19" spans="1:10" x14ac:dyDescent="0.15">
      <c r="A19" s="11">
        <v>12</v>
      </c>
      <c r="C19" s="13">
        <v>0</v>
      </c>
      <c r="D19" s="13">
        <v>0</v>
      </c>
      <c r="E19" s="13">
        <v>0</v>
      </c>
      <c r="F19" s="13">
        <f t="shared" si="0"/>
        <v>0</v>
      </c>
      <c r="G19" s="13">
        <f t="shared" si="1"/>
        <v>0</v>
      </c>
      <c r="H19" s="13">
        <f t="shared" si="2"/>
        <v>0</v>
      </c>
      <c r="I19" s="14">
        <f t="shared" si="3"/>
        <v>0</v>
      </c>
      <c r="J19" s="13">
        <f t="shared" si="4"/>
        <v>0</v>
      </c>
    </row>
    <row r="20" spans="1:10" x14ac:dyDescent="0.15">
      <c r="A20" s="11">
        <v>13</v>
      </c>
      <c r="C20" s="13">
        <v>0</v>
      </c>
      <c r="D20" s="13">
        <v>0</v>
      </c>
      <c r="E20" s="13">
        <v>0</v>
      </c>
      <c r="F20" s="13">
        <f t="shared" si="0"/>
        <v>0</v>
      </c>
      <c r="G20" s="13">
        <f t="shared" si="1"/>
        <v>0</v>
      </c>
      <c r="H20" s="13">
        <f t="shared" si="2"/>
        <v>0</v>
      </c>
      <c r="I20" s="14">
        <f t="shared" si="3"/>
        <v>0</v>
      </c>
      <c r="J20" s="13">
        <f t="shared" si="4"/>
        <v>0</v>
      </c>
    </row>
    <row r="21" spans="1:10" x14ac:dyDescent="0.15">
      <c r="A21" s="11">
        <v>14</v>
      </c>
      <c r="C21" s="13">
        <v>0</v>
      </c>
      <c r="D21" s="13">
        <v>0</v>
      </c>
      <c r="E21" s="13">
        <v>0</v>
      </c>
      <c r="F21" s="13">
        <f t="shared" si="0"/>
        <v>0</v>
      </c>
      <c r="G21" s="13">
        <f t="shared" si="1"/>
        <v>0</v>
      </c>
      <c r="H21" s="13">
        <f t="shared" si="2"/>
        <v>0</v>
      </c>
      <c r="I21" s="14">
        <f t="shared" si="3"/>
        <v>0</v>
      </c>
      <c r="J21" s="13">
        <f t="shared" si="4"/>
        <v>0</v>
      </c>
    </row>
    <row r="22" spans="1:10" x14ac:dyDescent="0.15">
      <c r="A22" s="11">
        <v>15</v>
      </c>
      <c r="C22" s="13">
        <v>0</v>
      </c>
      <c r="D22" s="13">
        <v>0</v>
      </c>
      <c r="E22" s="13">
        <v>0</v>
      </c>
      <c r="F22" s="13">
        <f t="shared" si="0"/>
        <v>0</v>
      </c>
      <c r="G22" s="13">
        <f t="shared" si="1"/>
        <v>0</v>
      </c>
      <c r="H22" s="13">
        <f t="shared" si="2"/>
        <v>0</v>
      </c>
      <c r="I22" s="14">
        <f t="shared" si="3"/>
        <v>0</v>
      </c>
      <c r="J22" s="13">
        <f t="shared" si="4"/>
        <v>0</v>
      </c>
    </row>
    <row r="23" spans="1:10" x14ac:dyDescent="0.15">
      <c r="A23" s="11">
        <v>16</v>
      </c>
      <c r="C23" s="13">
        <v>0</v>
      </c>
      <c r="D23" s="13">
        <v>0</v>
      </c>
      <c r="E23" s="13">
        <v>0</v>
      </c>
      <c r="F23" s="13">
        <f t="shared" si="0"/>
        <v>0</v>
      </c>
      <c r="G23" s="13">
        <f t="shared" si="1"/>
        <v>0</v>
      </c>
      <c r="H23" s="13">
        <f t="shared" si="2"/>
        <v>0</v>
      </c>
      <c r="I23" s="14">
        <f t="shared" si="3"/>
        <v>0</v>
      </c>
      <c r="J23" s="13">
        <f t="shared" si="4"/>
        <v>0</v>
      </c>
    </row>
    <row r="24" spans="1:10" x14ac:dyDescent="0.15">
      <c r="A24" s="11">
        <v>17</v>
      </c>
      <c r="C24" s="13">
        <v>0</v>
      </c>
      <c r="D24" s="13">
        <v>0</v>
      </c>
      <c r="E24" s="13">
        <v>0</v>
      </c>
      <c r="F24" s="13">
        <f t="shared" si="0"/>
        <v>0</v>
      </c>
      <c r="G24" s="13">
        <f t="shared" si="1"/>
        <v>0</v>
      </c>
      <c r="H24" s="13">
        <f t="shared" si="2"/>
        <v>0</v>
      </c>
      <c r="I24" s="14">
        <f t="shared" si="3"/>
        <v>0</v>
      </c>
      <c r="J24" s="13">
        <f t="shared" si="4"/>
        <v>0</v>
      </c>
    </row>
    <row r="25" spans="1:10" x14ac:dyDescent="0.15">
      <c r="I25" s="14"/>
      <c r="J25" s="13"/>
    </row>
    <row r="26" spans="1:10" x14ac:dyDescent="0.15">
      <c r="I26" s="14"/>
      <c r="J26" s="13"/>
    </row>
    <row r="27" spans="1:10" x14ac:dyDescent="0.15">
      <c r="I27" s="14"/>
      <c r="J27" s="13"/>
    </row>
    <row r="28" spans="1:10" x14ac:dyDescent="0.15">
      <c r="I28" s="14"/>
      <c r="J28" s="13"/>
    </row>
    <row r="29" spans="1:10" x14ac:dyDescent="0.15">
      <c r="I29" s="14"/>
      <c r="J29" s="13"/>
    </row>
    <row r="30" spans="1:10" x14ac:dyDescent="0.15">
      <c r="I30" s="14"/>
      <c r="J30" s="13"/>
    </row>
    <row r="31" spans="1:10" x14ac:dyDescent="0.15">
      <c r="I31" s="14"/>
      <c r="J31" s="13"/>
    </row>
    <row r="32" spans="1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"/>
  <sheetViews>
    <sheetView topLeftCell="B1" workbookViewId="0">
      <selection activeCell="B3" sqref="B3"/>
    </sheetView>
  </sheetViews>
  <sheetFormatPr defaultRowHeight="12.75" x14ac:dyDescent="0.15"/>
  <cols>
    <col min="1" max="1" width="4.71875" style="11" customWidth="1"/>
    <col min="2" max="2" width="15.91015625" style="12" customWidth="1"/>
    <col min="3" max="4" width="6.47265625" style="13" customWidth="1"/>
    <col min="5" max="5" width="9.16796875" style="13"/>
    <col min="6" max="6" width="9.70703125" style="13" customWidth="1"/>
    <col min="7" max="7" width="5.12109375" style="13" customWidth="1"/>
    <col min="8" max="8" width="6.60546875" style="13" customWidth="1"/>
    <col min="9" max="9" width="5.796875" style="12" customWidth="1"/>
    <col min="10" max="10" width="6.3359375" style="12" customWidth="1"/>
    <col min="11" max="12" width="9.16796875" style="72"/>
  </cols>
  <sheetData>
    <row r="1" spans="1:10" x14ac:dyDescent="0.15">
      <c r="A1" s="32"/>
      <c r="B1" s="7"/>
      <c r="C1" s="31"/>
      <c r="D1" s="31"/>
      <c r="E1" s="31"/>
      <c r="F1" s="31"/>
      <c r="G1" s="31"/>
      <c r="H1" s="31"/>
      <c r="I1" s="7"/>
      <c r="J1" s="7"/>
    </row>
    <row r="2" spans="1:10" x14ac:dyDescent="0.15">
      <c r="A2" s="33" t="s">
        <v>13</v>
      </c>
      <c r="B2" s="40" t="s">
        <v>61</v>
      </c>
      <c r="C2" s="34"/>
      <c r="D2" s="31"/>
      <c r="E2" s="2" t="s">
        <v>34</v>
      </c>
      <c r="F2" s="23">
        <v>0.48</v>
      </c>
      <c r="G2" s="25"/>
      <c r="H2" s="25"/>
      <c r="I2" s="26" t="s">
        <v>19</v>
      </c>
      <c r="J2" s="26" t="s">
        <v>7</v>
      </c>
    </row>
    <row r="3" spans="1:10" x14ac:dyDescent="0.15">
      <c r="A3" s="33" t="s">
        <v>14</v>
      </c>
      <c r="B3" s="41" t="s">
        <v>62</v>
      </c>
      <c r="C3" s="36"/>
      <c r="D3" s="31"/>
      <c r="E3" s="2" t="s">
        <v>21</v>
      </c>
      <c r="F3" s="30">
        <v>0</v>
      </c>
      <c r="G3" s="27"/>
      <c r="H3" s="22" t="s">
        <v>3</v>
      </c>
      <c r="I3" s="28">
        <f>SUM(J8:J47)*(1+1*$F$3)*F5</f>
        <v>88.247700000000009</v>
      </c>
      <c r="J3" s="28">
        <f>I3*$F$4</f>
        <v>88.247700000000009</v>
      </c>
    </row>
    <row r="4" spans="1:10" x14ac:dyDescent="0.15">
      <c r="A4" s="33" t="s">
        <v>15</v>
      </c>
      <c r="B4" s="41" t="s">
        <v>51</v>
      </c>
      <c r="C4" s="37"/>
      <c r="D4" s="6"/>
      <c r="E4" s="2" t="s">
        <v>20</v>
      </c>
      <c r="F4" s="23">
        <v>1</v>
      </c>
      <c r="G4" s="25"/>
      <c r="H4" s="22" t="s">
        <v>9</v>
      </c>
      <c r="I4" s="29">
        <f>SUM(F8:F47)*(1+1*$F$3)*F5</f>
        <v>76.3</v>
      </c>
      <c r="J4" s="28">
        <f>I4*$F$4</f>
        <v>76.3</v>
      </c>
    </row>
    <row r="5" spans="1:10" x14ac:dyDescent="0.15">
      <c r="A5" s="38"/>
      <c r="B5" s="35"/>
      <c r="C5" s="39"/>
      <c r="D5" s="6"/>
      <c r="E5" s="2" t="s">
        <v>35</v>
      </c>
      <c r="F5" s="23">
        <v>1</v>
      </c>
      <c r="G5" s="25"/>
      <c r="H5" s="22" t="s">
        <v>1</v>
      </c>
      <c r="I5" s="29">
        <f>SUM(H8:H47)*(1+1*$F$3)*F5</f>
        <v>272.09707500000002</v>
      </c>
      <c r="J5" s="28">
        <f>I5*$F$4</f>
        <v>272.09707500000002</v>
      </c>
    </row>
    <row r="6" spans="1:10" x14ac:dyDescent="0.15">
      <c r="A6" s="15"/>
      <c r="B6" s="3"/>
      <c r="C6" s="4" t="s">
        <v>16</v>
      </c>
      <c r="D6" s="5" t="s">
        <v>17</v>
      </c>
      <c r="E6" s="6"/>
      <c r="F6" s="6"/>
      <c r="G6" s="6"/>
      <c r="H6" s="73" t="s">
        <v>1</v>
      </c>
      <c r="I6" s="73"/>
      <c r="J6" s="7"/>
    </row>
    <row r="7" spans="1:10" x14ac:dyDescent="0.15">
      <c r="A7" s="45" t="s">
        <v>6</v>
      </c>
      <c r="B7" s="46" t="s">
        <v>8</v>
      </c>
      <c r="C7" s="24" t="s">
        <v>11</v>
      </c>
      <c r="D7" s="24" t="s">
        <v>12</v>
      </c>
      <c r="E7" s="24" t="s">
        <v>4</v>
      </c>
      <c r="F7" s="47" t="s">
        <v>0</v>
      </c>
      <c r="G7" s="24" t="s">
        <v>5</v>
      </c>
      <c r="H7" s="47" t="s">
        <v>2</v>
      </c>
      <c r="I7" s="47" t="s">
        <v>10</v>
      </c>
      <c r="J7" s="47" t="s">
        <v>3</v>
      </c>
    </row>
    <row r="8" spans="1:10" x14ac:dyDescent="0.15">
      <c r="A8" s="11">
        <v>1</v>
      </c>
      <c r="C8" s="13">
        <v>8.4</v>
      </c>
      <c r="D8" s="13">
        <v>6</v>
      </c>
      <c r="E8" s="13">
        <v>0</v>
      </c>
      <c r="F8" s="13">
        <f>((C8+D8)*2)-E8</f>
        <v>28.8</v>
      </c>
      <c r="G8" s="13">
        <f>IF(F8&gt;0,$F$2,0)</f>
        <v>0.48</v>
      </c>
      <c r="H8" s="13">
        <f>IF(G8=0,0,((C8/1)*D8)+((D8/G8)*C8))</f>
        <v>155.4</v>
      </c>
      <c r="I8" s="14">
        <f>H8/3</f>
        <v>51.800000000000004</v>
      </c>
      <c r="J8" s="13">
        <f>C8*D8</f>
        <v>50.400000000000006</v>
      </c>
    </row>
    <row r="9" spans="1:10" x14ac:dyDescent="0.15">
      <c r="A9" s="11">
        <v>2</v>
      </c>
      <c r="C9" s="13">
        <v>4.25</v>
      </c>
      <c r="D9" s="13">
        <v>2.95</v>
      </c>
      <c r="E9" s="13">
        <v>0</v>
      </c>
      <c r="F9" s="13">
        <f>((C9+D9)*2)-E9</f>
        <v>14.4</v>
      </c>
      <c r="G9" s="13">
        <f>IF(F9&gt;0,$F$2,0)</f>
        <v>0.48</v>
      </c>
      <c r="H9" s="13">
        <f>IF(G9=0,0,((C9/1)*D9)+((D9/G9)*C9))</f>
        <v>38.657291666666666</v>
      </c>
      <c r="I9" s="14">
        <f>H9/3</f>
        <v>12.885763888888889</v>
      </c>
      <c r="J9" s="13">
        <f>C9*D9</f>
        <v>12.537500000000001</v>
      </c>
    </row>
    <row r="10" spans="1:10" x14ac:dyDescent="0.15">
      <c r="A10" s="11">
        <v>3</v>
      </c>
      <c r="C10" s="13">
        <v>2.17</v>
      </c>
      <c r="D10" s="13">
        <v>2.0299999999999998</v>
      </c>
      <c r="E10" s="13">
        <v>0</v>
      </c>
      <c r="F10" s="13">
        <f>((C10+D10)*2)-E10</f>
        <v>8.3999999999999986</v>
      </c>
      <c r="G10" s="13">
        <f>IF(F10&gt;0,$F$2,0)</f>
        <v>0.48</v>
      </c>
      <c r="H10" s="13">
        <f>IF(G10=0,0,((C10/1)*D10)+((D10/G10)*C10))</f>
        <v>13.582391666666664</v>
      </c>
      <c r="I10" s="14">
        <f>H10/3</f>
        <v>4.5274638888888878</v>
      </c>
      <c r="J10" s="13">
        <f>C10*D10</f>
        <v>4.4050999999999991</v>
      </c>
    </row>
    <row r="11" spans="1:10" x14ac:dyDescent="0.15">
      <c r="A11" s="11">
        <v>4</v>
      </c>
      <c r="C11" s="13">
        <v>2.17</v>
      </c>
      <c r="D11" s="13">
        <v>2.0299999999999998</v>
      </c>
      <c r="E11" s="13">
        <v>0</v>
      </c>
      <c r="F11" s="13">
        <f>((C11+D11)*2)-E11</f>
        <v>8.3999999999999986</v>
      </c>
      <c r="G11" s="13">
        <f>IF(F11&gt;0,$F$2,0)</f>
        <v>0.48</v>
      </c>
      <c r="H11" s="13">
        <f>IF(G11=0,0,((C11/1)*D11)+((D11/G11)*C11))</f>
        <v>13.582391666666664</v>
      </c>
      <c r="I11" s="14">
        <f>H11/3</f>
        <v>4.5274638888888878</v>
      </c>
      <c r="J11" s="13">
        <f>C11*D11</f>
        <v>4.4050999999999991</v>
      </c>
    </row>
    <row r="12" spans="1:10" ht="12" customHeight="1" x14ac:dyDescent="0.15">
      <c r="A12" s="11">
        <v>5</v>
      </c>
      <c r="C12" s="13">
        <v>4.4000000000000004</v>
      </c>
      <c r="D12" s="13">
        <v>3.75</v>
      </c>
      <c r="E12" s="13">
        <v>0</v>
      </c>
      <c r="F12" s="13">
        <f>((C12+D12)*2)-E12</f>
        <v>16.3</v>
      </c>
      <c r="G12" s="13">
        <f>IF(F12&gt;0,$F$2,0)</f>
        <v>0.48</v>
      </c>
      <c r="H12" s="13">
        <f t="shared" ref="H12:H24" si="0">IF(G12=0,0,((C12/1)*D12)+((D12/G12)*C12))</f>
        <v>50.875</v>
      </c>
      <c r="I12" s="14">
        <f>H12/3</f>
        <v>16.958333333333332</v>
      </c>
      <c r="J12" s="13">
        <f>C12*D12</f>
        <v>16.5</v>
      </c>
    </row>
    <row r="13" spans="1:10" x14ac:dyDescent="0.15">
      <c r="A13" s="11">
        <v>6</v>
      </c>
      <c r="C13" s="13">
        <v>0</v>
      </c>
      <c r="D13" s="13">
        <v>0</v>
      </c>
      <c r="E13" s="13">
        <v>0</v>
      </c>
      <c r="F13" s="13">
        <f t="shared" ref="F13:F24" si="1">((C13+D13)*2)-E13</f>
        <v>0</v>
      </c>
      <c r="G13" s="13">
        <f t="shared" ref="G13:G24" si="2">IF(F13&gt;0,$F$2,0)</f>
        <v>0</v>
      </c>
      <c r="H13" s="13">
        <f t="shared" si="0"/>
        <v>0</v>
      </c>
      <c r="I13" s="14">
        <f t="shared" ref="I13:I24" si="3">H13/3</f>
        <v>0</v>
      </c>
      <c r="J13" s="13">
        <f t="shared" ref="J13:J24" si="4">C13*D13</f>
        <v>0</v>
      </c>
    </row>
    <row r="14" spans="1:10" x14ac:dyDescent="0.15">
      <c r="A14" s="11">
        <v>7</v>
      </c>
      <c r="C14" s="13">
        <v>0</v>
      </c>
      <c r="D14" s="13">
        <v>0</v>
      </c>
      <c r="E14" s="13">
        <v>0</v>
      </c>
      <c r="F14" s="13">
        <f t="shared" si="1"/>
        <v>0</v>
      </c>
      <c r="G14" s="13">
        <f t="shared" si="2"/>
        <v>0</v>
      </c>
      <c r="H14" s="13">
        <f t="shared" si="0"/>
        <v>0</v>
      </c>
      <c r="I14" s="14">
        <f t="shared" si="3"/>
        <v>0</v>
      </c>
      <c r="J14" s="13">
        <f t="shared" si="4"/>
        <v>0</v>
      </c>
    </row>
    <row r="15" spans="1:10" x14ac:dyDescent="0.15">
      <c r="A15" s="11">
        <v>8</v>
      </c>
      <c r="C15" s="13">
        <v>0</v>
      </c>
      <c r="D15" s="13">
        <v>0</v>
      </c>
      <c r="E15" s="13">
        <v>0</v>
      </c>
      <c r="F15" s="13">
        <f t="shared" si="1"/>
        <v>0</v>
      </c>
      <c r="G15" s="13">
        <f t="shared" si="2"/>
        <v>0</v>
      </c>
      <c r="H15" s="13">
        <f t="shared" si="0"/>
        <v>0</v>
      </c>
      <c r="I15" s="14">
        <f t="shared" si="3"/>
        <v>0</v>
      </c>
      <c r="J15" s="13">
        <f t="shared" si="4"/>
        <v>0</v>
      </c>
    </row>
    <row r="16" spans="1:10" x14ac:dyDescent="0.15">
      <c r="A16" s="11">
        <v>9</v>
      </c>
      <c r="C16" s="13">
        <v>0</v>
      </c>
      <c r="D16" s="13">
        <v>0</v>
      </c>
      <c r="E16" s="13">
        <v>0</v>
      </c>
      <c r="F16" s="13">
        <f t="shared" si="1"/>
        <v>0</v>
      </c>
      <c r="G16" s="13">
        <f t="shared" si="2"/>
        <v>0</v>
      </c>
      <c r="H16" s="13">
        <f t="shared" si="0"/>
        <v>0</v>
      </c>
      <c r="I16" s="14">
        <f t="shared" si="3"/>
        <v>0</v>
      </c>
      <c r="J16" s="13">
        <f t="shared" si="4"/>
        <v>0</v>
      </c>
    </row>
    <row r="17" spans="1:10" x14ac:dyDescent="0.15">
      <c r="A17" s="11">
        <v>10</v>
      </c>
      <c r="C17" s="13">
        <v>0</v>
      </c>
      <c r="D17" s="13">
        <v>0</v>
      </c>
      <c r="E17" s="13">
        <v>0</v>
      </c>
      <c r="F17" s="13">
        <f t="shared" si="1"/>
        <v>0</v>
      </c>
      <c r="G17" s="13">
        <f t="shared" si="2"/>
        <v>0</v>
      </c>
      <c r="H17" s="13">
        <f t="shared" si="0"/>
        <v>0</v>
      </c>
      <c r="I17" s="14">
        <f t="shared" si="3"/>
        <v>0</v>
      </c>
      <c r="J17" s="13">
        <f t="shared" si="4"/>
        <v>0</v>
      </c>
    </row>
    <row r="18" spans="1:10" x14ac:dyDescent="0.15">
      <c r="A18" s="11">
        <v>11</v>
      </c>
      <c r="C18" s="13">
        <v>0</v>
      </c>
      <c r="D18" s="13">
        <v>0</v>
      </c>
      <c r="E18" s="13">
        <v>0</v>
      </c>
      <c r="F18" s="13">
        <f t="shared" si="1"/>
        <v>0</v>
      </c>
      <c r="G18" s="13">
        <f t="shared" si="2"/>
        <v>0</v>
      </c>
      <c r="H18" s="13">
        <f t="shared" si="0"/>
        <v>0</v>
      </c>
      <c r="I18" s="14">
        <f t="shared" si="3"/>
        <v>0</v>
      </c>
      <c r="J18" s="13">
        <f t="shared" si="4"/>
        <v>0</v>
      </c>
    </row>
    <row r="19" spans="1:10" x14ac:dyDescent="0.15">
      <c r="A19" s="11">
        <v>12</v>
      </c>
      <c r="C19" s="13">
        <v>0</v>
      </c>
      <c r="D19" s="13">
        <v>0</v>
      </c>
      <c r="E19" s="13">
        <v>0</v>
      </c>
      <c r="F19" s="13">
        <f t="shared" si="1"/>
        <v>0</v>
      </c>
      <c r="G19" s="13">
        <f t="shared" si="2"/>
        <v>0</v>
      </c>
      <c r="H19" s="13">
        <f t="shared" si="0"/>
        <v>0</v>
      </c>
      <c r="I19" s="14">
        <f t="shared" si="3"/>
        <v>0</v>
      </c>
      <c r="J19" s="13">
        <f t="shared" si="4"/>
        <v>0</v>
      </c>
    </row>
    <row r="20" spans="1:10" x14ac:dyDescent="0.15">
      <c r="A20" s="11">
        <v>13</v>
      </c>
      <c r="C20" s="13">
        <v>0</v>
      </c>
      <c r="D20" s="13">
        <v>0</v>
      </c>
      <c r="E20" s="13">
        <v>0</v>
      </c>
      <c r="F20" s="13">
        <f t="shared" si="1"/>
        <v>0</v>
      </c>
      <c r="G20" s="13">
        <f t="shared" si="2"/>
        <v>0</v>
      </c>
      <c r="H20" s="13">
        <f t="shared" si="0"/>
        <v>0</v>
      </c>
      <c r="I20" s="14">
        <f t="shared" si="3"/>
        <v>0</v>
      </c>
      <c r="J20" s="13">
        <f t="shared" si="4"/>
        <v>0</v>
      </c>
    </row>
    <row r="21" spans="1:10" x14ac:dyDescent="0.15">
      <c r="A21" s="11">
        <v>14</v>
      </c>
      <c r="C21" s="13">
        <v>0</v>
      </c>
      <c r="D21" s="13">
        <v>0</v>
      </c>
      <c r="E21" s="13">
        <v>0</v>
      </c>
      <c r="F21" s="13">
        <f t="shared" si="1"/>
        <v>0</v>
      </c>
      <c r="G21" s="13">
        <f t="shared" si="2"/>
        <v>0</v>
      </c>
      <c r="H21" s="13">
        <f t="shared" si="0"/>
        <v>0</v>
      </c>
      <c r="I21" s="14">
        <f t="shared" si="3"/>
        <v>0</v>
      </c>
      <c r="J21" s="13">
        <f t="shared" si="4"/>
        <v>0</v>
      </c>
    </row>
    <row r="22" spans="1:10" x14ac:dyDescent="0.15">
      <c r="A22" s="11">
        <v>15</v>
      </c>
      <c r="C22" s="13">
        <v>0</v>
      </c>
      <c r="D22" s="13">
        <v>0</v>
      </c>
      <c r="E22" s="13">
        <v>0</v>
      </c>
      <c r="F22" s="13">
        <f t="shared" si="1"/>
        <v>0</v>
      </c>
      <c r="G22" s="13">
        <f t="shared" si="2"/>
        <v>0</v>
      </c>
      <c r="H22" s="13">
        <f t="shared" si="0"/>
        <v>0</v>
      </c>
      <c r="I22" s="14">
        <f t="shared" si="3"/>
        <v>0</v>
      </c>
      <c r="J22" s="13">
        <f t="shared" si="4"/>
        <v>0</v>
      </c>
    </row>
    <row r="23" spans="1:10" x14ac:dyDescent="0.15">
      <c r="A23" s="11">
        <v>16</v>
      </c>
      <c r="C23" s="13">
        <v>0</v>
      </c>
      <c r="D23" s="13">
        <v>0</v>
      </c>
      <c r="E23" s="13">
        <v>0</v>
      </c>
      <c r="F23" s="13">
        <f t="shared" si="1"/>
        <v>0</v>
      </c>
      <c r="G23" s="13">
        <f t="shared" si="2"/>
        <v>0</v>
      </c>
      <c r="H23" s="13">
        <f t="shared" si="0"/>
        <v>0</v>
      </c>
      <c r="I23" s="14">
        <f t="shared" si="3"/>
        <v>0</v>
      </c>
      <c r="J23" s="13">
        <f t="shared" si="4"/>
        <v>0</v>
      </c>
    </row>
    <row r="24" spans="1:10" x14ac:dyDescent="0.15">
      <c r="A24" s="11">
        <v>17</v>
      </c>
      <c r="C24" s="13">
        <v>0</v>
      </c>
      <c r="D24" s="13">
        <v>0</v>
      </c>
      <c r="E24" s="13">
        <v>0</v>
      </c>
      <c r="F24" s="13">
        <f t="shared" si="1"/>
        <v>0</v>
      </c>
      <c r="G24" s="13">
        <f t="shared" si="2"/>
        <v>0</v>
      </c>
      <c r="H24" s="13">
        <f t="shared" si="0"/>
        <v>0</v>
      </c>
      <c r="I24" s="14">
        <f t="shared" si="3"/>
        <v>0</v>
      </c>
      <c r="J24" s="13">
        <f t="shared" si="4"/>
        <v>0</v>
      </c>
    </row>
    <row r="25" spans="1:10" x14ac:dyDescent="0.15">
      <c r="I25" s="14"/>
      <c r="J25" s="13"/>
    </row>
    <row r="26" spans="1:10" x14ac:dyDescent="0.15">
      <c r="I26" s="14"/>
      <c r="J26" s="13"/>
    </row>
    <row r="27" spans="1:10" x14ac:dyDescent="0.15">
      <c r="I27" s="14"/>
      <c r="J27" s="13"/>
    </row>
    <row r="28" spans="1:10" x14ac:dyDescent="0.15">
      <c r="I28" s="14"/>
      <c r="J28" s="13"/>
    </row>
    <row r="29" spans="1:10" x14ac:dyDescent="0.15">
      <c r="I29" s="14"/>
      <c r="J29" s="13"/>
    </row>
    <row r="30" spans="1:10" x14ac:dyDescent="0.15">
      <c r="I30" s="14"/>
      <c r="J30" s="13"/>
    </row>
    <row r="31" spans="1:10" x14ac:dyDescent="0.15">
      <c r="I31" s="14"/>
      <c r="J31" s="13"/>
    </row>
    <row r="32" spans="1:10" x14ac:dyDescent="0.15">
      <c r="I32" s="14"/>
      <c r="J32" s="13"/>
    </row>
    <row r="33" spans="9:10" x14ac:dyDescent="0.15">
      <c r="I33" s="14"/>
      <c r="J33" s="13"/>
    </row>
    <row r="34" spans="9:10" x14ac:dyDescent="0.15">
      <c r="I34" s="14"/>
      <c r="J34" s="13"/>
    </row>
    <row r="35" spans="9:10" x14ac:dyDescent="0.15">
      <c r="I35" s="14"/>
      <c r="J35" s="13"/>
    </row>
    <row r="36" spans="9:10" x14ac:dyDescent="0.15">
      <c r="I36" s="14"/>
      <c r="J36" s="13"/>
    </row>
    <row r="37" spans="9:10" x14ac:dyDescent="0.15">
      <c r="I37" s="14"/>
      <c r="J37" s="13"/>
    </row>
    <row r="38" spans="9:10" x14ac:dyDescent="0.15">
      <c r="I38" s="14"/>
      <c r="J38" s="13"/>
    </row>
    <row r="39" spans="9:10" x14ac:dyDescent="0.15">
      <c r="I39" s="14"/>
      <c r="J39" s="13"/>
    </row>
    <row r="40" spans="9:10" x14ac:dyDescent="0.15">
      <c r="I40" s="14"/>
      <c r="J40" s="13"/>
    </row>
    <row r="41" spans="9:10" x14ac:dyDescent="0.15">
      <c r="I41" s="14"/>
      <c r="J41" s="13"/>
    </row>
    <row r="42" spans="9:10" x14ac:dyDescent="0.15">
      <c r="I42" s="14"/>
      <c r="J42" s="13"/>
    </row>
    <row r="43" spans="9:10" x14ac:dyDescent="0.15">
      <c r="I43" s="14"/>
      <c r="J43" s="13"/>
    </row>
    <row r="44" spans="9:10" x14ac:dyDescent="0.15">
      <c r="I44" s="14"/>
      <c r="J44" s="13"/>
    </row>
    <row r="45" spans="9:10" x14ac:dyDescent="0.15">
      <c r="I45" s="14"/>
      <c r="J45" s="13"/>
    </row>
    <row r="46" spans="9:10" x14ac:dyDescent="0.15">
      <c r="I46" s="14"/>
      <c r="J46" s="13"/>
    </row>
    <row r="47" spans="9:10" x14ac:dyDescent="0.15">
      <c r="I47" s="14"/>
      <c r="J47" s="13"/>
    </row>
    <row r="48" spans="9:10" x14ac:dyDescent="0.15">
      <c r="I48" s="14"/>
      <c r="J48" s="13"/>
    </row>
    <row r="49" spans="9:10" x14ac:dyDescent="0.15">
      <c r="I49" s="14"/>
      <c r="J49" s="13"/>
    </row>
    <row r="50" spans="9:10" x14ac:dyDescent="0.15">
      <c r="I50" s="14"/>
      <c r="J50" s="13"/>
    </row>
  </sheetData>
  <mergeCells count="1">
    <mergeCell ref="H6:I6"/>
  </mergeCells>
  <pageMargins left="0.75" right="0.75" top="1" bottom="1" header="0.49212598499999999" footer="0.49212598499999999"/>
  <pageSetup paperSize="9"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"/>
  <sheetViews>
    <sheetView workbookViewId="0">
      <selection activeCell="F3" sqref="F3"/>
    </sheetView>
  </sheetViews>
  <sheetFormatPr defaultRowHeight="12.75" x14ac:dyDescent="0.15"/>
  <cols>
    <col min="1" max="1" width="11.73046875" bestFit="1" customWidth="1"/>
    <col min="2" max="2" width="8.08984375" bestFit="1" customWidth="1"/>
    <col min="3" max="10" width="7.953125" customWidth="1"/>
  </cols>
  <sheetData>
    <row r="1" spans="1:11" x14ac:dyDescent="0.15">
      <c r="A1" s="69" t="s">
        <v>52</v>
      </c>
      <c r="B1" s="20" t="s">
        <v>57</v>
      </c>
      <c r="C1" s="20" t="s">
        <v>31</v>
      </c>
      <c r="D1" s="20" t="s">
        <v>1</v>
      </c>
      <c r="E1" s="20" t="s">
        <v>26</v>
      </c>
      <c r="F1" s="20" t="s">
        <v>32</v>
      </c>
      <c r="G1" s="20" t="s">
        <v>27</v>
      </c>
      <c r="H1" s="20" t="s">
        <v>28</v>
      </c>
      <c r="I1" s="20" t="s">
        <v>29</v>
      </c>
      <c r="J1" s="20" t="s">
        <v>30</v>
      </c>
    </row>
    <row r="2" spans="1:11" x14ac:dyDescent="0.15">
      <c r="A2" s="70">
        <f>'Tab Geral'!B8</f>
        <v>602.68020000000001</v>
      </c>
      <c r="B2" s="20" t="s">
        <v>37</v>
      </c>
      <c r="C2" s="20" t="s">
        <v>38</v>
      </c>
      <c r="D2" s="20" t="s">
        <v>38</v>
      </c>
      <c r="E2" s="20" t="s">
        <v>39</v>
      </c>
      <c r="F2" s="20" t="s">
        <v>39</v>
      </c>
      <c r="G2" s="20" t="s">
        <v>39</v>
      </c>
      <c r="H2" s="20" t="s">
        <v>39</v>
      </c>
      <c r="I2" s="20" t="s">
        <v>40</v>
      </c>
      <c r="J2" s="20" t="s">
        <v>38</v>
      </c>
    </row>
    <row r="3" spans="1:11" x14ac:dyDescent="0.15">
      <c r="A3" s="59" t="s">
        <v>53</v>
      </c>
      <c r="B3" s="60">
        <f>'Tab Geral'!B8</f>
        <v>602.68020000000001</v>
      </c>
      <c r="C3" s="60">
        <f>'Tab Geral'!C8</f>
        <v>550.12</v>
      </c>
      <c r="D3" s="60">
        <f>'Tab Geral'!D8</f>
        <v>1457.5231166666667</v>
      </c>
      <c r="E3" s="60">
        <f>'Tab Geral'!E8</f>
        <v>1217.4140040000002</v>
      </c>
      <c r="F3" s="60">
        <f>'Tab Geral'!F8</f>
        <v>1217.4140040000002</v>
      </c>
      <c r="G3" s="71">
        <f>'Tab Geral'!G8/1000</f>
        <v>9.040203</v>
      </c>
      <c r="H3" s="60">
        <f>'Tab Geral'!H8</f>
        <v>180.80405999999999</v>
      </c>
      <c r="I3" s="60">
        <f>'Tab Geral'!I8/20</f>
        <v>13.560304500000001</v>
      </c>
      <c r="J3" s="60">
        <f>'Tab Geral'!J8/150</f>
        <v>5.6250152</v>
      </c>
      <c r="K3" s="52">
        <f>'Tab Geral'!K8/150</f>
        <v>0</v>
      </c>
    </row>
    <row r="4" spans="1:11" x14ac:dyDescent="0.15">
      <c r="A4" s="59" t="s">
        <v>54</v>
      </c>
      <c r="B4" s="61">
        <v>7.6</v>
      </c>
      <c r="C4" s="61">
        <v>1.54</v>
      </c>
      <c r="D4" s="61">
        <v>1.61</v>
      </c>
      <c r="E4" s="61">
        <v>0.38</v>
      </c>
      <c r="F4" s="61">
        <v>0.86</v>
      </c>
      <c r="G4" s="61">
        <v>24.81</v>
      </c>
      <c r="H4" s="61">
        <v>0.38</v>
      </c>
      <c r="I4" s="61">
        <v>30.43</v>
      </c>
      <c r="J4" s="61">
        <v>15.55</v>
      </c>
    </row>
    <row r="5" spans="1:11" x14ac:dyDescent="0.15">
      <c r="A5" s="59" t="s">
        <v>55</v>
      </c>
      <c r="B5" s="62">
        <f>B3*B4</f>
        <v>4580.3695200000002</v>
      </c>
      <c r="C5" s="62">
        <f t="shared" ref="C5:J5" si="0">C3*C4</f>
        <v>847.1848</v>
      </c>
      <c r="D5" s="62">
        <f t="shared" si="0"/>
        <v>2346.6122178333335</v>
      </c>
      <c r="E5" s="62">
        <f t="shared" si="0"/>
        <v>462.61732152000008</v>
      </c>
      <c r="F5" s="62">
        <f t="shared" si="0"/>
        <v>1046.9760434400002</v>
      </c>
      <c r="G5" s="62">
        <f t="shared" si="0"/>
        <v>224.28743642999999</v>
      </c>
      <c r="H5" s="62">
        <f t="shared" si="0"/>
        <v>68.705542800000003</v>
      </c>
      <c r="I5" s="62">
        <f t="shared" si="0"/>
        <v>412.640065935</v>
      </c>
      <c r="J5" s="62">
        <f t="shared" si="0"/>
        <v>87.468986360000002</v>
      </c>
    </row>
    <row r="6" spans="1:11" x14ac:dyDescent="0.15">
      <c r="A6" s="63"/>
      <c r="B6" s="64"/>
      <c r="C6" s="64"/>
      <c r="D6" s="64"/>
      <c r="E6" s="64"/>
      <c r="F6" s="64"/>
      <c r="G6" s="64"/>
      <c r="H6" s="64"/>
      <c r="I6" s="64"/>
    </row>
    <row r="7" spans="1:11" x14ac:dyDescent="0.15">
      <c r="A7" s="65" t="s">
        <v>36</v>
      </c>
      <c r="B7" s="66">
        <f>SUM(B5:J5)</f>
        <v>10076.861934318335</v>
      </c>
      <c r="C7" s="64"/>
      <c r="D7" s="64"/>
      <c r="E7" s="64"/>
      <c r="F7" s="64"/>
      <c r="G7" s="64"/>
      <c r="H7" s="64"/>
      <c r="I7" s="64"/>
    </row>
    <row r="8" spans="1:11" x14ac:dyDescent="0.15">
      <c r="A8" s="67" t="s">
        <v>56</v>
      </c>
      <c r="B8" s="68">
        <f>B7/A2</f>
        <v>16.720081287419653</v>
      </c>
      <c r="C8" s="64"/>
      <c r="D8" s="64"/>
      <c r="E8" s="64"/>
      <c r="F8" s="64"/>
      <c r="G8" s="64"/>
      <c r="H8" s="64"/>
      <c r="I8" s="64"/>
    </row>
  </sheetData>
  <pageMargins left="0.75" right="0.75" top="1" bottom="1" header="0.49212598499999999" footer="0.49212598499999999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Tab Geral</vt:lpstr>
      <vt:lpstr>Tab1</vt:lpstr>
      <vt:lpstr>Tab2</vt:lpstr>
      <vt:lpstr>Tab3</vt:lpstr>
      <vt:lpstr>Tab4</vt:lpstr>
      <vt:lpstr>Tab5</vt:lpstr>
      <vt:lpstr>Tab6</vt:lpstr>
      <vt:lpstr>Tab7</vt:lpstr>
      <vt:lpstr>Tab8</vt:lpstr>
      <vt:lpstr>Tab9</vt:lpstr>
      <vt:lpstr>Tab10</vt:lpstr>
      <vt:lpstr>Preço</vt:lpstr>
    </vt:vector>
  </TitlesOfParts>
  <Company>Consistec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Borigato</dc:creator>
  <cp:lastModifiedBy>X</cp:lastModifiedBy>
  <cp:lastPrinted>2004-07-27T20:15:29Z</cp:lastPrinted>
  <dcterms:created xsi:type="dcterms:W3CDTF">2002-05-23T21:10:19Z</dcterms:created>
  <dcterms:modified xsi:type="dcterms:W3CDTF">2023-04-17T08:34:20Z</dcterms:modified>
</cp:coreProperties>
</file>